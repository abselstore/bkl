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-my.sharepoint.com/personal/pthavikulwat_towson_edu/Documents/Office/Paper/ABSEL/ABSEL 2026/Math/"/>
    </mc:Choice>
  </mc:AlternateContent>
  <xr:revisionPtr revIDLastSave="0" documentId="8_{72E8B7CC-6B59-4CF8-BF43-FB7DBE186771}" xr6:coauthVersionLast="47" xr6:coauthVersionMax="47" xr10:uidLastSave="{00000000-0000-0000-0000-000000000000}"/>
  <bookViews>
    <workbookView xWindow="-120" yWindow="-120" windowWidth="25440" windowHeight="15390" activeTab="1" xr2:uid="{B7EBBD1D-56CF-40FB-B989-A9B6D5579FCC}"/>
  </bookViews>
  <sheets>
    <sheet name="Combinations" sheetId="1" r:id="rId1"/>
    <sheet name="Calcu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2" l="1"/>
  <c r="F87" i="2"/>
  <c r="F99" i="2"/>
  <c r="F84" i="2"/>
  <c r="E83" i="2"/>
  <c r="F95" i="2"/>
  <c r="F103" i="2" s="1"/>
  <c r="C91" i="2"/>
  <c r="C99" i="2" s="1"/>
  <c r="D84" i="2"/>
  <c r="C83" i="2"/>
  <c r="E87" i="2"/>
  <c r="E95" i="2" s="1"/>
  <c r="E103" i="2" s="1"/>
  <c r="D87" i="2"/>
  <c r="C87" i="2"/>
  <c r="F86" i="2"/>
  <c r="E86" i="2"/>
  <c r="D86" i="2"/>
  <c r="D94" i="2" s="1"/>
  <c r="D102" i="2" s="1"/>
  <c r="C86" i="2"/>
  <c r="F85" i="2"/>
  <c r="E85" i="2"/>
  <c r="E93" i="2" s="1"/>
  <c r="E101" i="2" s="1"/>
  <c r="D85" i="2"/>
  <c r="C85" i="2"/>
  <c r="E84" i="2"/>
  <c r="D92" i="2"/>
  <c r="D100" i="2" s="1"/>
  <c r="C84" i="2"/>
  <c r="F83" i="2"/>
  <c r="F91" i="2" s="1"/>
  <c r="D83" i="2"/>
  <c r="J66" i="2"/>
  <c r="J65" i="2"/>
  <c r="J64" i="2"/>
  <c r="J63" i="2"/>
  <c r="J62" i="2"/>
  <c r="I8" i="2"/>
  <c r="J23" i="2"/>
  <c r="J17" i="2"/>
  <c r="E62" i="2"/>
  <c r="J59" i="2"/>
  <c r="M59" i="2"/>
  <c r="P59" i="2"/>
  <c r="S59" i="2"/>
  <c r="V59" i="2"/>
  <c r="F62" i="2"/>
  <c r="W58" i="2"/>
  <c r="X58" i="2"/>
  <c r="F66" i="2" s="1"/>
  <c r="D95" i="2"/>
  <c r="D103" i="2" s="1"/>
  <c r="C95" i="2"/>
  <c r="C103" i="2" s="1"/>
  <c r="F94" i="2"/>
  <c r="E94" i="2"/>
  <c r="E102" i="2" s="1"/>
  <c r="C94" i="2"/>
  <c r="C102" i="2" s="1"/>
  <c r="F93" i="2"/>
  <c r="F101" i="2" s="1"/>
  <c r="D93" i="2"/>
  <c r="D101" i="2" s="1"/>
  <c r="C93" i="2"/>
  <c r="C101" i="2" s="1"/>
  <c r="F92" i="2"/>
  <c r="F100" i="2" s="1"/>
  <c r="C92" i="2"/>
  <c r="C100" i="2" s="1"/>
  <c r="D91" i="2"/>
  <c r="D99" i="2" s="1"/>
  <c r="E78" i="2"/>
  <c r="D78" i="2"/>
  <c r="F78" i="2"/>
  <c r="F79" i="2"/>
  <c r="E91" i="2" l="1"/>
  <c r="E99" i="2" s="1"/>
  <c r="C66" i="2"/>
  <c r="C65" i="2"/>
  <c r="C62" i="2"/>
  <c r="C63" i="2"/>
  <c r="C64" i="2"/>
  <c r="D64" i="2"/>
  <c r="N54" i="2"/>
  <c r="C22" i="2" l="1"/>
  <c r="D62" i="2"/>
  <c r="C55" i="2"/>
  <c r="C54" i="2"/>
  <c r="E64" i="2"/>
  <c r="E63" i="2"/>
  <c r="E92" i="2" s="1"/>
  <c r="E100" i="2" s="1"/>
  <c r="D63" i="2"/>
  <c r="E74" i="2"/>
  <c r="E73" i="2"/>
  <c r="E72" i="2"/>
  <c r="E75" i="2" s="1"/>
  <c r="E71" i="2"/>
  <c r="E70" i="2"/>
  <c r="F65" i="2"/>
  <c r="F64" i="2"/>
  <c r="F63" i="2"/>
  <c r="E66" i="2"/>
  <c r="E65" i="2"/>
  <c r="D66" i="2"/>
  <c r="D65" i="2"/>
  <c r="W57" i="2"/>
  <c r="W56" i="2"/>
  <c r="W55" i="2"/>
  <c r="W54" i="2"/>
  <c r="X54" i="2" s="1"/>
  <c r="T57" i="2"/>
  <c r="U57" i="2" s="1"/>
  <c r="T56" i="2"/>
  <c r="T55" i="2"/>
  <c r="T54" i="2"/>
  <c r="U55" i="2" s="1"/>
  <c r="Q56" i="2"/>
  <c r="Q55" i="2"/>
  <c r="Q54" i="2"/>
  <c r="N55" i="2"/>
  <c r="K54" i="2"/>
  <c r="L54" i="2" s="1"/>
  <c r="G58" i="2"/>
  <c r="F58" i="2"/>
  <c r="E58" i="2"/>
  <c r="D58" i="2"/>
  <c r="H58" i="2" s="1"/>
  <c r="I58" i="2" s="1"/>
  <c r="C58" i="2"/>
  <c r="F57" i="2"/>
  <c r="E57" i="2"/>
  <c r="D57" i="2"/>
  <c r="C57" i="2"/>
  <c r="H57" i="2" s="1"/>
  <c r="I57" i="2" s="1"/>
  <c r="E56" i="2"/>
  <c r="D56" i="2"/>
  <c r="C56" i="2"/>
  <c r="H56" i="2" s="1"/>
  <c r="I56" i="2" s="1"/>
  <c r="D55" i="2"/>
  <c r="H55" i="2" s="1"/>
  <c r="I55" i="2" s="1"/>
  <c r="H54" i="2"/>
  <c r="I54" i="2" s="1"/>
  <c r="J47" i="2"/>
  <c r="J46" i="2"/>
  <c r="J45" i="2"/>
  <c r="J44" i="2"/>
  <c r="J43" i="2"/>
  <c r="H47" i="2"/>
  <c r="I47" i="2" s="1"/>
  <c r="C47" i="2"/>
  <c r="D46" i="2"/>
  <c r="C46" i="2"/>
  <c r="E45" i="2"/>
  <c r="D45" i="2"/>
  <c r="C45" i="2"/>
  <c r="F44" i="2"/>
  <c r="E44" i="2"/>
  <c r="D44" i="2"/>
  <c r="C44" i="2"/>
  <c r="G43" i="2"/>
  <c r="F43" i="2"/>
  <c r="E43" i="2"/>
  <c r="D43" i="2"/>
  <c r="C43" i="2"/>
  <c r="H46" i="2"/>
  <c r="I46" i="2" s="1"/>
  <c r="H45" i="2"/>
  <c r="I45" i="2" s="1"/>
  <c r="H44" i="2"/>
  <c r="I44" i="2" s="1"/>
  <c r="I38" i="2"/>
  <c r="J38" i="2" s="1"/>
  <c r="H38" i="2"/>
  <c r="J37" i="2"/>
  <c r="J36" i="2"/>
  <c r="J35" i="2"/>
  <c r="C38" i="2"/>
  <c r="D37" i="2"/>
  <c r="C37" i="2"/>
  <c r="E36" i="2"/>
  <c r="H36" i="2" s="1"/>
  <c r="I36" i="2" s="1"/>
  <c r="D36" i="2"/>
  <c r="C36" i="2"/>
  <c r="F35" i="2"/>
  <c r="E35" i="2"/>
  <c r="D35" i="2"/>
  <c r="C35" i="2"/>
  <c r="H35" i="2" s="1"/>
  <c r="I35" i="2" s="1"/>
  <c r="H37" i="2"/>
  <c r="I37" i="2" s="1"/>
  <c r="C17" i="2"/>
  <c r="C23" i="2"/>
  <c r="D22" i="2"/>
  <c r="H23" i="2"/>
  <c r="I23" i="2" s="1"/>
  <c r="C28" i="2"/>
  <c r="C30" i="2"/>
  <c r="H30" i="2" s="1"/>
  <c r="I30" i="2" s="1"/>
  <c r="D29" i="2"/>
  <c r="C29" i="2"/>
  <c r="E28" i="2"/>
  <c r="D28" i="2"/>
  <c r="G12" i="2"/>
  <c r="F12" i="2"/>
  <c r="F11" i="2"/>
  <c r="E12" i="2"/>
  <c r="E11" i="2"/>
  <c r="E10" i="2"/>
  <c r="D12" i="2"/>
  <c r="D11" i="2"/>
  <c r="D10" i="2"/>
  <c r="D9" i="2"/>
  <c r="C12" i="2"/>
  <c r="C11" i="2"/>
  <c r="C10" i="2"/>
  <c r="C9" i="2"/>
  <c r="C8" i="2"/>
  <c r="H8" i="2" s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19" i="1"/>
  <c r="R18" i="1"/>
  <c r="R17" i="1"/>
  <c r="R16" i="1"/>
  <c r="R15" i="1"/>
  <c r="R14" i="1"/>
  <c r="R13" i="1"/>
  <c r="R20" i="1"/>
  <c r="Q37" i="1"/>
  <c r="P37" i="1"/>
  <c r="O37" i="1"/>
  <c r="N37" i="1"/>
  <c r="M37" i="1"/>
  <c r="P36" i="1"/>
  <c r="O36" i="1"/>
  <c r="N36" i="1"/>
  <c r="M36" i="1"/>
  <c r="P35" i="1"/>
  <c r="O35" i="1"/>
  <c r="N35" i="1"/>
  <c r="M35" i="1"/>
  <c r="P34" i="1"/>
  <c r="O34" i="1"/>
  <c r="N34" i="1"/>
  <c r="M34" i="1"/>
  <c r="P33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N26" i="1"/>
  <c r="M26" i="1"/>
  <c r="N25" i="1"/>
  <c r="M25" i="1"/>
  <c r="N24" i="1"/>
  <c r="M24" i="1"/>
  <c r="N23" i="1"/>
  <c r="M23" i="1"/>
  <c r="M22" i="1"/>
  <c r="N18" i="1"/>
  <c r="A30" i="1"/>
  <c r="A31" i="1" s="1"/>
  <c r="A32" i="1" s="1"/>
  <c r="A33" i="1" s="1"/>
  <c r="A34" i="1" s="1"/>
  <c r="A35" i="1" s="1"/>
  <c r="A36" i="1" s="1"/>
  <c r="A37" i="1" s="1"/>
  <c r="G20" i="1"/>
  <c r="G16" i="1"/>
  <c r="G19" i="1"/>
  <c r="G18" i="1"/>
  <c r="G17" i="1"/>
  <c r="G15" i="1"/>
  <c r="G14" i="1"/>
  <c r="F3" i="1"/>
  <c r="E3" i="1"/>
  <c r="O20" i="1" s="1"/>
  <c r="D3" i="1"/>
  <c r="N11" i="1" s="1"/>
  <c r="C3" i="1"/>
  <c r="B3" i="1"/>
  <c r="N10" i="1" s="1"/>
  <c r="I11" i="1"/>
  <c r="J11" i="1" s="1"/>
  <c r="J10" i="1"/>
  <c r="J9" i="1"/>
  <c r="K11" i="1"/>
  <c r="K10" i="1"/>
  <c r="K9" i="1"/>
  <c r="G11" i="1"/>
  <c r="G10" i="1"/>
  <c r="G9" i="1"/>
  <c r="K6" i="1"/>
  <c r="A9" i="1"/>
  <c r="A10" i="1" s="1"/>
  <c r="A11" i="1" s="1"/>
  <c r="A23" i="1"/>
  <c r="A24" i="1" s="1"/>
  <c r="A25" i="1" s="1"/>
  <c r="A26" i="1" s="1"/>
  <c r="A27" i="1" s="1"/>
  <c r="A28" i="1" s="1"/>
  <c r="A29" i="1" s="1"/>
  <c r="A14" i="1"/>
  <c r="A15" i="1" s="1"/>
  <c r="A16" i="1" s="1"/>
  <c r="A17" i="1" s="1"/>
  <c r="A18" i="1" s="1"/>
  <c r="A19" i="1" s="1"/>
  <c r="A20" i="1" s="1"/>
  <c r="X55" i="2" l="1"/>
  <c r="X57" i="2"/>
  <c r="X56" i="2"/>
  <c r="U56" i="2"/>
  <c r="U54" i="2"/>
  <c r="O55" i="2"/>
  <c r="O54" i="2"/>
  <c r="R54" i="2" s="1"/>
  <c r="H43" i="2"/>
  <c r="I43" i="2" s="1"/>
  <c r="H22" i="2"/>
  <c r="I22" i="2" s="1"/>
  <c r="H17" i="2"/>
  <c r="I17" i="2" s="1"/>
  <c r="H29" i="2"/>
  <c r="I29" i="2" s="1"/>
  <c r="H28" i="2"/>
  <c r="I28" i="2" s="1"/>
  <c r="J28" i="2" s="1"/>
  <c r="H10" i="2"/>
  <c r="I10" i="2" s="1"/>
  <c r="H9" i="2"/>
  <c r="I9" i="2" s="1"/>
  <c r="H12" i="2"/>
  <c r="I12" i="2" s="1"/>
  <c r="H11" i="2"/>
  <c r="I11" i="2" s="1"/>
  <c r="J8" i="2"/>
  <c r="P20" i="1"/>
  <c r="M15" i="1"/>
  <c r="M16" i="1"/>
  <c r="M19" i="1"/>
  <c r="N17" i="1"/>
  <c r="M17" i="1"/>
  <c r="M18" i="1"/>
  <c r="N19" i="1"/>
  <c r="N20" i="1"/>
  <c r="M20" i="1"/>
  <c r="O17" i="1"/>
  <c r="M10" i="1"/>
  <c r="R10" i="1" s="1"/>
  <c r="M13" i="1"/>
  <c r="N14" i="1"/>
  <c r="O18" i="1"/>
  <c r="M14" i="1"/>
  <c r="N15" i="1"/>
  <c r="O19" i="1"/>
  <c r="N16" i="1"/>
  <c r="M9" i="1"/>
  <c r="M11" i="1"/>
  <c r="O11" i="1"/>
  <c r="M8" i="1"/>
  <c r="R8" i="1" s="1"/>
  <c r="N9" i="1"/>
  <c r="R56" i="2" l="1"/>
  <c r="R55" i="2"/>
  <c r="J22" i="2"/>
  <c r="J30" i="2"/>
  <c r="J29" i="2"/>
  <c r="J10" i="2"/>
  <c r="J9" i="2"/>
  <c r="J12" i="2"/>
  <c r="J11" i="2"/>
  <c r="R9" i="1"/>
  <c r="R11" i="1"/>
</calcChain>
</file>

<file path=xl/sharedStrings.xml><?xml version="1.0" encoding="utf-8"?>
<sst xmlns="http://schemas.openxmlformats.org/spreadsheetml/2006/main" count="231" uniqueCount="57">
  <si>
    <t>Path</t>
  </si>
  <si>
    <t>None</t>
  </si>
  <si>
    <t>Weighted</t>
  </si>
  <si>
    <t>A</t>
  </si>
  <si>
    <t>B</t>
  </si>
  <si>
    <t>C</t>
  </si>
  <si>
    <t>D</t>
  </si>
  <si>
    <t>E</t>
  </si>
  <si>
    <t>Alternative</t>
  </si>
  <si>
    <t>Value</t>
  </si>
  <si>
    <t>Compute using average</t>
  </si>
  <si>
    <t>Compute using difference</t>
  </si>
  <si>
    <t xml:space="preserve"> </t>
  </si>
  <si>
    <t>Alternatives</t>
  </si>
  <si>
    <t>Distractors</t>
  </si>
  <si>
    <t>No. of</t>
  </si>
  <si>
    <t>Average</t>
  </si>
  <si>
    <t>Cumulative</t>
  </si>
  <si>
    <t>First</t>
  </si>
  <si>
    <t>Power (m)</t>
  </si>
  <si>
    <t>Likelihood of Selection by Chance</t>
  </si>
  <si>
    <t>Knowledge (k)</t>
  </si>
  <si>
    <t>Prfc Score</t>
  </si>
  <si>
    <t>Alternatives (M) =</t>
  </si>
  <si>
    <t>Key</t>
  </si>
  <si>
    <t>Distractor</t>
  </si>
  <si>
    <t>Number</t>
  </si>
  <si>
    <t>Product</t>
  </si>
  <si>
    <t>4 Distractors</t>
  </si>
  <si>
    <t>3 Distractors</t>
  </si>
  <si>
    <t>2 Distractors</t>
  </si>
  <si>
    <t>1 Distractor</t>
  </si>
  <si>
    <t>No. of Distractors</t>
  </si>
  <si>
    <t>Conventional</t>
  </si>
  <si>
    <t>Combined</t>
  </si>
  <si>
    <t>5 Distractors</t>
  </si>
  <si>
    <t>Instant Feedback</t>
  </si>
  <si>
    <t>Weighted Distractors</t>
  </si>
  <si>
    <t>Count</t>
  </si>
  <si>
    <t>Power</t>
  </si>
  <si>
    <t>Type</t>
  </si>
  <si>
    <t>Fill in</t>
  </si>
  <si>
    <t>True/False</t>
  </si>
  <si>
    <t>Instant</t>
  </si>
  <si>
    <t>Total</t>
  </si>
  <si>
    <t>Sum</t>
  </si>
  <si>
    <t>Magnifying power of a set</t>
  </si>
  <si>
    <t>IP</t>
  </si>
  <si>
    <t>Interpolate 3 distractors</t>
  </si>
  <si>
    <t>MP</t>
  </si>
  <si>
    <t>Magnifying Power</t>
  </si>
  <si>
    <t>Mean Likelihood One Key</t>
  </si>
  <si>
    <t>Magnifying Power Plus Key</t>
  </si>
  <si>
    <t>No. of Different Scores</t>
  </si>
  <si>
    <t>No. of Scores</t>
  </si>
  <si>
    <t>Mean Likelihood Plus Key</t>
  </si>
  <si>
    <t>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</si>
</sst>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22172976703861E-2"/>
          <c:y val="7.2139303482587069E-2"/>
          <c:w val="0.84638257913499504"/>
          <c:h val="0.7758252046852351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Calculations!$C$61</c:f>
              <c:strCache>
                <c:ptCount val="1"/>
                <c:pt idx="0">
                  <c:v>Conventional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Calculations!$C$62:$C$65</c:f>
              <c:numCache>
                <c:formatCode>0.000</c:formatCode>
                <c:ptCount val="4"/>
                <c:pt idx="0">
                  <c:v>0.5</c:v>
                </c:pt>
                <c:pt idx="1">
                  <c:v>0.58333333333333337</c:v>
                </c:pt>
                <c:pt idx="2">
                  <c:v>0.63888888888888884</c:v>
                </c:pt>
                <c:pt idx="3">
                  <c:v>0.6791666666666667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6-4BA5-9419-28B5FB0BA239}"/>
            </c:ext>
          </c:extLst>
        </c:ser>
        <c:ser>
          <c:idx val="1"/>
          <c:order val="1"/>
          <c:tx>
            <c:strRef>
              <c:f>Calculations!$D$61</c:f>
              <c:strCache>
                <c:ptCount val="1"/>
                <c:pt idx="0">
                  <c:v>Instant Feedback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Calculations!$D$62:$D$65</c:f>
              <c:numCache>
                <c:formatCode>0.000</c:formatCode>
                <c:ptCount val="4"/>
                <c:pt idx="0">
                  <c:v>0.5</c:v>
                </c:pt>
                <c:pt idx="1">
                  <c:v>1.0833333333333335</c:v>
                </c:pt>
                <c:pt idx="2">
                  <c:v>1.7222222222222223</c:v>
                </c:pt>
                <c:pt idx="3">
                  <c:v>2.401388888888889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6-4BA5-9419-28B5FB0BA239}"/>
            </c:ext>
          </c:extLst>
        </c:ser>
        <c:ser>
          <c:idx val="2"/>
          <c:order val="2"/>
          <c:tx>
            <c:strRef>
              <c:f>Calculations!$E$61</c:f>
              <c:strCache>
                <c:ptCount val="1"/>
                <c:pt idx="0">
                  <c:v>Weighted Distractors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Calculations!$E$62:$E$65</c:f>
              <c:numCache>
                <c:formatCode>0.000</c:formatCode>
                <c:ptCount val="4"/>
                <c:pt idx="0">
                  <c:v>0.5</c:v>
                </c:pt>
                <c:pt idx="1">
                  <c:v>1.25</c:v>
                </c:pt>
                <c:pt idx="2">
                  <c:v>2.0972222222222223</c:v>
                </c:pt>
                <c:pt idx="3">
                  <c:v>2.9930555555555554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6-4BA5-9419-28B5FB0BA239}"/>
            </c:ext>
          </c:extLst>
        </c:ser>
        <c:ser>
          <c:idx val="3"/>
          <c:order val="3"/>
          <c:tx>
            <c:strRef>
              <c:f>Calculations!$F$61</c:f>
              <c:strCache>
                <c:ptCount val="1"/>
                <c:pt idx="0">
                  <c:v>Combined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Calculations!$F$62:$F$65</c:f>
              <c:numCache>
                <c:formatCode>0.000</c:formatCode>
                <c:ptCount val="4"/>
                <c:pt idx="0">
                  <c:v>0.5</c:v>
                </c:pt>
                <c:pt idx="1">
                  <c:v>1.5833333333333335</c:v>
                </c:pt>
                <c:pt idx="2">
                  <c:v>3.8888888888888888</c:v>
                </c:pt>
                <c:pt idx="3">
                  <c:v>8.7347222222222225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6-4BA5-9419-28B5FB0B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75727"/>
        <c:axId val="2011463919"/>
      </c:scatterChart>
      <c:valAx>
        <c:axId val="2072875727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Distractors</a:t>
                </a:r>
              </a:p>
            </c:rich>
          </c:tx>
          <c:layout>
            <c:manualLayout>
              <c:xMode val="edge"/>
              <c:yMode val="edge"/>
              <c:x val="0.4217515443196917"/>
              <c:y val="0.91044776119402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3919"/>
        <c:crosses val="autoZero"/>
        <c:crossBetween val="midCat"/>
        <c:majorUnit val="1"/>
      </c:valAx>
      <c:valAx>
        <c:axId val="2011463919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Magnifying Power</a:t>
                </a:r>
              </a:p>
            </c:rich>
          </c:tx>
          <c:layout>
            <c:manualLayout>
              <c:xMode val="edge"/>
              <c:yMode val="edge"/>
              <c:x val="2.0561832855168032E-2"/>
              <c:y val="0.37130802679515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16552158463016"/>
          <c:y val="3.1065146707407793E-4"/>
          <c:w val="0.78582718947539398"/>
          <c:h val="6.934108982645827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22172976703861E-2"/>
          <c:y val="7.2139303482587069E-2"/>
          <c:w val="0.84638257913499504"/>
          <c:h val="0.7758252046852351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Calculations!$C$98</c:f>
              <c:strCache>
                <c:ptCount val="1"/>
                <c:pt idx="0">
                  <c:v>Conventional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Calculations!$B$99:$B$102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Calculations!$C$99:$C$102</c:f>
              <c:numCache>
                <c:formatCode>0.000</c:formatCode>
                <c:ptCount val="4"/>
                <c:pt idx="0">
                  <c:v>0.33333333333333337</c:v>
                </c:pt>
                <c:pt idx="1">
                  <c:v>0.41176470588235303</c:v>
                </c:pt>
                <c:pt idx="2">
                  <c:v>0.46938775510204078</c:v>
                </c:pt>
                <c:pt idx="3">
                  <c:v>0.51419558359621453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9-4E86-9493-8FF08E21E359}"/>
            </c:ext>
          </c:extLst>
        </c:ser>
        <c:ser>
          <c:idx val="1"/>
          <c:order val="1"/>
          <c:tx>
            <c:strRef>
              <c:f>Calculations!$D$98</c:f>
              <c:strCache>
                <c:ptCount val="1"/>
                <c:pt idx="0">
                  <c:v>Instant Feedback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Calculations!$B$99:$B$102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Calculations!$D$99:$D$102</c:f>
              <c:numCache>
                <c:formatCode>0.000</c:formatCode>
                <c:ptCount val="4"/>
                <c:pt idx="0">
                  <c:v>0.33333333333333337</c:v>
                </c:pt>
                <c:pt idx="1">
                  <c:v>0.74285714285714288</c:v>
                </c:pt>
                <c:pt idx="2">
                  <c:v>1.2077922077922074</c:v>
                </c:pt>
                <c:pt idx="3">
                  <c:v>1.7157032994294221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9-4E86-9493-8FF08E21E359}"/>
            </c:ext>
          </c:extLst>
        </c:ser>
        <c:ser>
          <c:idx val="2"/>
          <c:order val="2"/>
          <c:tx>
            <c:strRef>
              <c:f>Calculations!$E$98</c:f>
              <c:strCache>
                <c:ptCount val="1"/>
                <c:pt idx="0">
                  <c:v>Weighted Distractors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Calculations!$B$99:$B$102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Calculations!$E$99:$E$102</c:f>
              <c:numCache>
                <c:formatCode>0.000</c:formatCode>
                <c:ptCount val="4"/>
                <c:pt idx="0">
                  <c:v>0.33333333333333337</c:v>
                </c:pt>
                <c:pt idx="1">
                  <c:v>0.90909090909090895</c:v>
                </c:pt>
                <c:pt idx="2">
                  <c:v>1.6120996441281137</c:v>
                </c:pt>
                <c:pt idx="3">
                  <c:v>2.3911234396671288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9-4E86-9493-8FF08E21E359}"/>
            </c:ext>
          </c:extLst>
        </c:ser>
        <c:ser>
          <c:idx val="3"/>
          <c:order val="3"/>
          <c:tx>
            <c:strRef>
              <c:f>Calculations!$F$98</c:f>
              <c:strCache>
                <c:ptCount val="1"/>
                <c:pt idx="0">
                  <c:v>Combined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Calculations!$B$99:$B$102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Calculations!$F$99:$F$102</c:f>
              <c:numCache>
                <c:formatCode>0.000</c:formatCode>
                <c:ptCount val="4"/>
                <c:pt idx="0">
                  <c:v>0.33333333333333337</c:v>
                </c:pt>
                <c:pt idx="1">
                  <c:v>1.0754716981132075</c:v>
                </c:pt>
                <c:pt idx="2">
                  <c:v>2.6923076923076921</c:v>
                </c:pt>
                <c:pt idx="3">
                  <c:v>6.1612566128926911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49-4E86-9493-8FF08E21E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75727"/>
        <c:axId val="2011463919"/>
      </c:scatterChart>
      <c:valAx>
        <c:axId val="2072875727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Distractors</a:t>
                </a:r>
              </a:p>
            </c:rich>
          </c:tx>
          <c:layout>
            <c:manualLayout>
              <c:xMode val="edge"/>
              <c:yMode val="edge"/>
              <c:x val="0.4217515443196917"/>
              <c:y val="0.91044776119402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3919"/>
        <c:crosses val="autoZero"/>
        <c:crossBetween val="midCat"/>
        <c:majorUnit val="1"/>
      </c:valAx>
      <c:valAx>
        <c:axId val="2011463919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Magnifying Power</a:t>
                </a:r>
              </a:p>
            </c:rich>
          </c:tx>
          <c:layout>
            <c:manualLayout>
              <c:xMode val="edge"/>
              <c:yMode val="edge"/>
              <c:x val="2.0561832855168032E-2"/>
              <c:y val="0.37130802679515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16552158463016"/>
          <c:y val="3.1065146707407793E-4"/>
          <c:w val="0.78582718947539398"/>
          <c:h val="6.934108982645827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60</xdr:row>
      <xdr:rowOff>1</xdr:rowOff>
    </xdr:from>
    <xdr:to>
      <xdr:col>21</xdr:col>
      <xdr:colOff>571499</xdr:colOff>
      <xdr:row>86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3437F8-9C7F-9569-EFBC-3DCCB2C24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96</xdr:row>
      <xdr:rowOff>0</xdr:rowOff>
    </xdr:from>
    <xdr:to>
      <xdr:col>21</xdr:col>
      <xdr:colOff>571499</xdr:colOff>
      <xdr:row>122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B77F8-D391-4928-945E-B0A48F8DD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BAA0-FED0-4FD8-8F0D-35F9F431DA02}">
  <dimension ref="A2:S37"/>
  <sheetViews>
    <sheetView workbookViewId="0">
      <pane xSplit="1" ySplit="4" topLeftCell="B11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5" x14ac:dyDescent="0.25"/>
  <cols>
    <col min="2" max="6" width="9.140625" style="1"/>
    <col min="13" max="17" width="9.140625" style="4"/>
    <col min="18" max="18" width="10.85546875" style="4" customWidth="1"/>
  </cols>
  <sheetData>
    <row r="2" spans="1:19" x14ac:dyDescent="0.25">
      <c r="A2" t="s">
        <v>8</v>
      </c>
      <c r="B2" s="3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19" x14ac:dyDescent="0.25">
      <c r="A3" t="s">
        <v>9</v>
      </c>
      <c r="B3" s="1">
        <f>1</f>
        <v>1</v>
      </c>
      <c r="C3" s="1">
        <f>1/2</f>
        <v>0.5</v>
      </c>
      <c r="D3" s="1">
        <f>1/3</f>
        <v>0.33333333333333331</v>
      </c>
      <c r="E3" s="1">
        <f>1/4</f>
        <v>0.25</v>
      </c>
      <c r="F3" s="1">
        <f>1/5</f>
        <v>0.2</v>
      </c>
      <c r="I3" t="s">
        <v>11</v>
      </c>
      <c r="M3" s="4" t="s">
        <v>10</v>
      </c>
    </row>
    <row r="4" spans="1:19" x14ac:dyDescent="0.25">
      <c r="A4" t="s">
        <v>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t="s">
        <v>1</v>
      </c>
      <c r="K4" t="s">
        <v>2</v>
      </c>
      <c r="M4" s="1">
        <v>1</v>
      </c>
      <c r="N4" s="1">
        <v>2</v>
      </c>
      <c r="O4" s="1">
        <v>3</v>
      </c>
      <c r="P4" s="1">
        <v>4</v>
      </c>
      <c r="Q4" s="1">
        <v>5</v>
      </c>
      <c r="R4" s="4" t="s">
        <v>2</v>
      </c>
    </row>
    <row r="5" spans="1:19" x14ac:dyDescent="0.25">
      <c r="A5">
        <v>1</v>
      </c>
      <c r="B5" s="1" t="s">
        <v>3</v>
      </c>
      <c r="G5">
        <v>1</v>
      </c>
      <c r="K5">
        <v>1</v>
      </c>
      <c r="S5">
        <v>1</v>
      </c>
    </row>
    <row r="6" spans="1:19" x14ac:dyDescent="0.25">
      <c r="A6">
        <v>2</v>
      </c>
      <c r="B6" s="1" t="s">
        <v>4</v>
      </c>
      <c r="C6" s="1" t="s">
        <v>3</v>
      </c>
      <c r="G6">
        <v>0.5</v>
      </c>
      <c r="K6">
        <f>0.5+(1-0.5)/2</f>
        <v>0.75</v>
      </c>
      <c r="S6">
        <v>2</v>
      </c>
    </row>
    <row r="8" spans="1:19" x14ac:dyDescent="0.25">
      <c r="A8">
        <v>1</v>
      </c>
      <c r="B8" s="1" t="s">
        <v>3</v>
      </c>
      <c r="G8">
        <v>1</v>
      </c>
      <c r="K8">
        <v>1</v>
      </c>
      <c r="M8" s="4">
        <f>HLOOKUP(B8,$B$2:$F$3,2,TRUE)</f>
        <v>1</v>
      </c>
      <c r="R8" s="4">
        <f>AVERAGE(M8:O8)</f>
        <v>1</v>
      </c>
      <c r="S8">
        <v>1</v>
      </c>
    </row>
    <row r="9" spans="1:19" x14ac:dyDescent="0.25">
      <c r="A9">
        <f>A8+1</f>
        <v>2</v>
      </c>
      <c r="B9" s="1" t="s">
        <v>4</v>
      </c>
      <c r="C9" s="1" t="s">
        <v>3</v>
      </c>
      <c r="G9">
        <f>1/2</f>
        <v>0.5</v>
      </c>
      <c r="J9">
        <f>0.5</f>
        <v>0.5</v>
      </c>
      <c r="K9">
        <f>0.5+(1-0.5)/2</f>
        <v>0.75</v>
      </c>
      <c r="M9" s="4">
        <f t="shared" ref="M9:M11" si="0">HLOOKUP(B9,$B$2:$F$3,2,TRUE)</f>
        <v>0.5</v>
      </c>
      <c r="N9" s="4">
        <f t="shared" ref="N9:O11" si="1">HLOOKUP(C9,$B$2:$F$3,2,TRUE)</f>
        <v>1</v>
      </c>
      <c r="R9" s="4">
        <f t="shared" ref="R9:R11" si="2">AVERAGE(M9:O9)</f>
        <v>0.75</v>
      </c>
      <c r="S9">
        <v>2</v>
      </c>
    </row>
    <row r="10" spans="1:19" x14ac:dyDescent="0.25">
      <c r="A10">
        <f t="shared" ref="A10:A11" si="3">A9+1</f>
        <v>3</v>
      </c>
      <c r="B10" s="1" t="s">
        <v>5</v>
      </c>
      <c r="C10" s="1" t="s">
        <v>3</v>
      </c>
      <c r="G10">
        <f>1/2</f>
        <v>0.5</v>
      </c>
      <c r="J10">
        <f>1/3</f>
        <v>0.33333333333333331</v>
      </c>
      <c r="K10">
        <f>1/3+(1-1/3)/2</f>
        <v>0.66666666666666674</v>
      </c>
      <c r="M10" s="4">
        <f t="shared" si="0"/>
        <v>0.33333333333333331</v>
      </c>
      <c r="N10" s="4">
        <f t="shared" si="1"/>
        <v>1</v>
      </c>
      <c r="R10" s="4">
        <f t="shared" si="2"/>
        <v>0.66666666666666663</v>
      </c>
      <c r="S10">
        <v>3</v>
      </c>
    </row>
    <row r="11" spans="1:19" x14ac:dyDescent="0.25">
      <c r="A11">
        <f t="shared" si="3"/>
        <v>4</v>
      </c>
      <c r="B11" s="1" t="s">
        <v>4</v>
      </c>
      <c r="C11" s="1" t="s">
        <v>5</v>
      </c>
      <c r="D11" s="1" t="s">
        <v>3</v>
      </c>
      <c r="G11">
        <f>1/3</f>
        <v>0.33333333333333331</v>
      </c>
      <c r="I11">
        <f>1/2</f>
        <v>0.5</v>
      </c>
      <c r="J11">
        <f>I11+(1/3-I11)/2</f>
        <v>0.41666666666666663</v>
      </c>
      <c r="K11">
        <f>1/2+(1/3-1/2)/2+(1-(1/2+(1/3-1/2)/2))/3</f>
        <v>0.61111111111111105</v>
      </c>
      <c r="M11" s="4">
        <f t="shared" si="0"/>
        <v>0.5</v>
      </c>
      <c r="N11" s="4">
        <f t="shared" si="1"/>
        <v>0.33333333333333331</v>
      </c>
      <c r="O11" s="4">
        <f t="shared" si="1"/>
        <v>1</v>
      </c>
      <c r="R11" s="4">
        <f t="shared" si="2"/>
        <v>0.61111111111111105</v>
      </c>
      <c r="S11">
        <v>1</v>
      </c>
    </row>
    <row r="13" spans="1:19" x14ac:dyDescent="0.25">
      <c r="A13">
        <v>1</v>
      </c>
      <c r="B13" s="3" t="s">
        <v>3</v>
      </c>
      <c r="G13">
        <v>1</v>
      </c>
      <c r="M13" s="4">
        <f t="shared" ref="M13:P20" si="4">HLOOKUP(B13,$B$2:$F$3,2,TRUE)</f>
        <v>1</v>
      </c>
      <c r="R13" s="4">
        <f t="shared" ref="R13:R19" si="5">AVERAGE(M13:Q13)</f>
        <v>1</v>
      </c>
      <c r="S13">
        <v>1</v>
      </c>
    </row>
    <row r="14" spans="1:19" x14ac:dyDescent="0.25">
      <c r="A14">
        <f>A13+1</f>
        <v>2</v>
      </c>
      <c r="B14" s="1" t="s">
        <v>4</v>
      </c>
      <c r="C14" s="3" t="s">
        <v>3</v>
      </c>
      <c r="G14">
        <f>1/2</f>
        <v>0.5</v>
      </c>
      <c r="M14" s="4">
        <f t="shared" si="4"/>
        <v>0.5</v>
      </c>
      <c r="N14" s="4">
        <f t="shared" si="4"/>
        <v>1</v>
      </c>
      <c r="R14" s="4">
        <f t="shared" si="5"/>
        <v>0.75</v>
      </c>
      <c r="S14">
        <v>2</v>
      </c>
    </row>
    <row r="15" spans="1:19" x14ac:dyDescent="0.25">
      <c r="A15">
        <f t="shared" ref="A15:A20" si="6">A14+1</f>
        <v>3</v>
      </c>
      <c r="B15" s="1" t="s">
        <v>5</v>
      </c>
      <c r="C15" s="3" t="s">
        <v>3</v>
      </c>
      <c r="G15">
        <f t="shared" ref="G15:G16" si="7">1/2</f>
        <v>0.5</v>
      </c>
      <c r="M15" s="4">
        <f t="shared" si="4"/>
        <v>0.33333333333333331</v>
      </c>
      <c r="N15" s="4">
        <f t="shared" si="4"/>
        <v>1</v>
      </c>
      <c r="R15" s="4">
        <f t="shared" si="5"/>
        <v>0.66666666666666663</v>
      </c>
      <c r="S15">
        <v>3</v>
      </c>
    </row>
    <row r="16" spans="1:19" x14ac:dyDescent="0.25">
      <c r="A16">
        <f t="shared" si="6"/>
        <v>4</v>
      </c>
      <c r="B16" s="1" t="s">
        <v>6</v>
      </c>
      <c r="C16" s="3" t="s">
        <v>3</v>
      </c>
      <c r="G16">
        <f t="shared" si="7"/>
        <v>0.5</v>
      </c>
      <c r="M16" s="4">
        <f t="shared" si="4"/>
        <v>0.25</v>
      </c>
      <c r="N16" s="4">
        <f t="shared" si="4"/>
        <v>1</v>
      </c>
      <c r="R16" s="4">
        <f t="shared" si="5"/>
        <v>0.625</v>
      </c>
      <c r="S16">
        <v>4</v>
      </c>
    </row>
    <row r="17" spans="1:19" x14ac:dyDescent="0.25">
      <c r="A17">
        <f t="shared" si="6"/>
        <v>5</v>
      </c>
      <c r="B17" s="1" t="s">
        <v>4</v>
      </c>
      <c r="C17" s="1" t="s">
        <v>5</v>
      </c>
      <c r="D17" s="3" t="s">
        <v>3</v>
      </c>
      <c r="E17" s="2" t="s">
        <v>6</v>
      </c>
      <c r="G17">
        <f t="shared" ref="G17:G19" si="8">1/3</f>
        <v>0.33333333333333331</v>
      </c>
      <c r="M17" s="4">
        <f t="shared" si="4"/>
        <v>0.5</v>
      </c>
      <c r="N17" s="4">
        <f t="shared" si="4"/>
        <v>0.33333333333333331</v>
      </c>
      <c r="O17" s="4">
        <f t="shared" si="4"/>
        <v>1</v>
      </c>
      <c r="R17" s="4">
        <f t="shared" si="5"/>
        <v>0.61111111111111105</v>
      </c>
      <c r="S17">
        <v>1</v>
      </c>
    </row>
    <row r="18" spans="1:19" x14ac:dyDescent="0.25">
      <c r="A18">
        <f t="shared" si="6"/>
        <v>6</v>
      </c>
      <c r="B18" s="1" t="s">
        <v>4</v>
      </c>
      <c r="C18" s="1" t="s">
        <v>6</v>
      </c>
      <c r="D18" s="3" t="s">
        <v>3</v>
      </c>
      <c r="E18" s="2" t="s">
        <v>5</v>
      </c>
      <c r="G18">
        <f t="shared" si="8"/>
        <v>0.33333333333333331</v>
      </c>
      <c r="M18" s="4">
        <f t="shared" si="4"/>
        <v>0.5</v>
      </c>
      <c r="N18" s="4">
        <f>HLOOKUP(C18,$B$2:$F$3,2,TRUE)</f>
        <v>0.25</v>
      </c>
      <c r="O18" s="4">
        <f t="shared" si="4"/>
        <v>1</v>
      </c>
      <c r="R18" s="4">
        <f t="shared" si="5"/>
        <v>0.58333333333333337</v>
      </c>
      <c r="S18">
        <v>2</v>
      </c>
    </row>
    <row r="19" spans="1:19" x14ac:dyDescent="0.25">
      <c r="A19">
        <f t="shared" si="6"/>
        <v>7</v>
      </c>
      <c r="B19" s="1" t="s">
        <v>5</v>
      </c>
      <c r="C19" s="1" t="s">
        <v>6</v>
      </c>
      <c r="D19" s="3" t="s">
        <v>3</v>
      </c>
      <c r="E19" s="2" t="s">
        <v>4</v>
      </c>
      <c r="G19">
        <f t="shared" si="8"/>
        <v>0.33333333333333331</v>
      </c>
      <c r="M19" s="4">
        <f t="shared" si="4"/>
        <v>0.33333333333333331</v>
      </c>
      <c r="N19" s="4">
        <f t="shared" si="4"/>
        <v>0.25</v>
      </c>
      <c r="O19" s="4">
        <f t="shared" si="4"/>
        <v>1</v>
      </c>
      <c r="R19" s="4">
        <f t="shared" si="5"/>
        <v>0.52777777777777779</v>
      </c>
      <c r="S19">
        <v>4</v>
      </c>
    </row>
    <row r="20" spans="1:19" x14ac:dyDescent="0.25">
      <c r="A20">
        <f t="shared" si="6"/>
        <v>8</v>
      </c>
      <c r="B20" s="1" t="s">
        <v>4</v>
      </c>
      <c r="C20" s="1" t="s">
        <v>5</v>
      </c>
      <c r="D20" s="1" t="s">
        <v>6</v>
      </c>
      <c r="E20" s="3" t="s">
        <v>3</v>
      </c>
      <c r="G20">
        <f>1/4</f>
        <v>0.25</v>
      </c>
      <c r="M20" s="4">
        <f t="shared" si="4"/>
        <v>0.5</v>
      </c>
      <c r="N20" s="4">
        <f t="shared" si="4"/>
        <v>0.33333333333333331</v>
      </c>
      <c r="O20" s="4">
        <f t="shared" si="4"/>
        <v>0.25</v>
      </c>
      <c r="P20" s="4">
        <f t="shared" si="4"/>
        <v>1</v>
      </c>
      <c r="R20" s="4">
        <f>AVERAGE(M20:Q20)</f>
        <v>0.52083333333333326</v>
      </c>
    </row>
    <row r="21" spans="1:19" x14ac:dyDescent="0.25">
      <c r="E21" s="3"/>
    </row>
    <row r="22" spans="1:19" x14ac:dyDescent="0.25">
      <c r="A22">
        <v>1</v>
      </c>
      <c r="B22" s="3" t="s">
        <v>3</v>
      </c>
      <c r="M22" s="4">
        <f t="shared" ref="M22:M37" si="9">HLOOKUP(B22,$B$2:$F$3,2,TRUE)</f>
        <v>1</v>
      </c>
      <c r="R22" s="4">
        <f t="shared" ref="R22:R37" si="10">AVERAGE(M22:Q22)</f>
        <v>1</v>
      </c>
      <c r="S22" t="s">
        <v>12</v>
      </c>
    </row>
    <row r="23" spans="1:19" x14ac:dyDescent="0.25">
      <c r="A23">
        <f>A22+1</f>
        <v>2</v>
      </c>
      <c r="B23" s="1" t="s">
        <v>4</v>
      </c>
      <c r="C23" s="3" t="s">
        <v>3</v>
      </c>
      <c r="M23" s="4">
        <f t="shared" si="9"/>
        <v>0.5</v>
      </c>
      <c r="N23" s="4">
        <f t="shared" ref="N23:N37" si="11">HLOOKUP(C23,$B$2:$F$3,2,TRUE)</f>
        <v>1</v>
      </c>
      <c r="R23" s="4">
        <f t="shared" si="10"/>
        <v>0.75</v>
      </c>
    </row>
    <row r="24" spans="1:19" x14ac:dyDescent="0.25">
      <c r="A24">
        <f t="shared" ref="A24:A37" si="12">A23+1</f>
        <v>3</v>
      </c>
      <c r="B24" s="1" t="s">
        <v>5</v>
      </c>
      <c r="C24" s="3" t="s">
        <v>3</v>
      </c>
      <c r="M24" s="4">
        <f t="shared" si="9"/>
        <v>0.33333333333333331</v>
      </c>
      <c r="N24" s="4">
        <f t="shared" si="11"/>
        <v>1</v>
      </c>
      <c r="R24" s="4">
        <f t="shared" si="10"/>
        <v>0.66666666666666663</v>
      </c>
    </row>
    <row r="25" spans="1:19" x14ac:dyDescent="0.25">
      <c r="A25">
        <f t="shared" si="12"/>
        <v>4</v>
      </c>
      <c r="B25" s="1" t="s">
        <v>6</v>
      </c>
      <c r="C25" s="3" t="s">
        <v>3</v>
      </c>
      <c r="M25" s="4">
        <f t="shared" si="9"/>
        <v>0.25</v>
      </c>
      <c r="N25" s="4">
        <f t="shared" si="11"/>
        <v>1</v>
      </c>
      <c r="R25" s="4">
        <f t="shared" si="10"/>
        <v>0.625</v>
      </c>
    </row>
    <row r="26" spans="1:19" x14ac:dyDescent="0.25">
      <c r="A26">
        <f t="shared" si="12"/>
        <v>5</v>
      </c>
      <c r="B26" s="1" t="s">
        <v>7</v>
      </c>
      <c r="C26" s="3" t="s">
        <v>3</v>
      </c>
      <c r="M26" s="4">
        <f t="shared" si="9"/>
        <v>0.2</v>
      </c>
      <c r="N26" s="4">
        <f t="shared" si="11"/>
        <v>1</v>
      </c>
      <c r="R26" s="4">
        <f t="shared" si="10"/>
        <v>0.6</v>
      </c>
    </row>
    <row r="27" spans="1:19" x14ac:dyDescent="0.25">
      <c r="A27">
        <f t="shared" si="12"/>
        <v>6</v>
      </c>
      <c r="B27" s="1" t="s">
        <v>4</v>
      </c>
      <c r="C27" s="1" t="s">
        <v>5</v>
      </c>
      <c r="D27" s="3" t="s">
        <v>3</v>
      </c>
      <c r="E27" s="1" t="s">
        <v>6</v>
      </c>
      <c r="F27" s="1" t="s">
        <v>7</v>
      </c>
      <c r="M27" s="4">
        <f t="shared" si="9"/>
        <v>0.5</v>
      </c>
      <c r="N27" s="4">
        <f t="shared" si="11"/>
        <v>0.33333333333333331</v>
      </c>
      <c r="O27" s="4">
        <f t="shared" ref="O27:O37" si="13">HLOOKUP(D27,$B$2:$F$3,2,TRUE)</f>
        <v>1</v>
      </c>
      <c r="R27" s="4">
        <f t="shared" si="10"/>
        <v>0.61111111111111105</v>
      </c>
    </row>
    <row r="28" spans="1:19" x14ac:dyDescent="0.25">
      <c r="A28">
        <f t="shared" si="12"/>
        <v>7</v>
      </c>
      <c r="B28" s="1" t="s">
        <v>4</v>
      </c>
      <c r="C28" s="1" t="s">
        <v>6</v>
      </c>
      <c r="D28" s="3" t="s">
        <v>3</v>
      </c>
      <c r="E28" s="1" t="s">
        <v>5</v>
      </c>
      <c r="F28" s="1" t="s">
        <v>7</v>
      </c>
      <c r="M28" s="4">
        <f t="shared" si="9"/>
        <v>0.5</v>
      </c>
      <c r="N28" s="4">
        <f t="shared" si="11"/>
        <v>0.25</v>
      </c>
      <c r="O28" s="4">
        <f t="shared" si="13"/>
        <v>1</v>
      </c>
      <c r="R28" s="4">
        <f t="shared" si="10"/>
        <v>0.58333333333333337</v>
      </c>
    </row>
    <row r="29" spans="1:19" x14ac:dyDescent="0.25">
      <c r="A29">
        <f t="shared" si="12"/>
        <v>8</v>
      </c>
      <c r="B29" s="1" t="s">
        <v>4</v>
      </c>
      <c r="C29" s="1" t="s">
        <v>7</v>
      </c>
      <c r="D29" s="3" t="s">
        <v>3</v>
      </c>
      <c r="E29" s="1" t="s">
        <v>5</v>
      </c>
      <c r="F29" s="1" t="s">
        <v>6</v>
      </c>
      <c r="M29" s="4">
        <f t="shared" si="9"/>
        <v>0.5</v>
      </c>
      <c r="N29" s="4">
        <f t="shared" si="11"/>
        <v>0.2</v>
      </c>
      <c r="O29" s="4">
        <f t="shared" si="13"/>
        <v>1</v>
      </c>
      <c r="R29" s="4">
        <f t="shared" si="10"/>
        <v>0.56666666666666665</v>
      </c>
    </row>
    <row r="30" spans="1:19" x14ac:dyDescent="0.25">
      <c r="A30">
        <f t="shared" si="12"/>
        <v>9</v>
      </c>
      <c r="B30" s="1" t="s">
        <v>5</v>
      </c>
      <c r="C30" s="1" t="s">
        <v>6</v>
      </c>
      <c r="D30" s="3" t="s">
        <v>3</v>
      </c>
      <c r="E30" s="1" t="s">
        <v>4</v>
      </c>
      <c r="F30" s="1" t="s">
        <v>7</v>
      </c>
      <c r="M30" s="4">
        <f t="shared" si="9"/>
        <v>0.33333333333333331</v>
      </c>
      <c r="N30" s="4">
        <f t="shared" si="11"/>
        <v>0.25</v>
      </c>
      <c r="O30" s="4">
        <f t="shared" si="13"/>
        <v>1</v>
      </c>
      <c r="R30" s="4">
        <f t="shared" si="10"/>
        <v>0.52777777777777779</v>
      </c>
    </row>
    <row r="31" spans="1:19" x14ac:dyDescent="0.25">
      <c r="A31">
        <f t="shared" si="12"/>
        <v>10</v>
      </c>
      <c r="B31" s="1" t="s">
        <v>5</v>
      </c>
      <c r="C31" s="1" t="s">
        <v>7</v>
      </c>
      <c r="D31" s="3" t="s">
        <v>3</v>
      </c>
      <c r="E31" s="1" t="s">
        <v>4</v>
      </c>
      <c r="F31" s="1" t="s">
        <v>6</v>
      </c>
      <c r="M31" s="4">
        <f t="shared" si="9"/>
        <v>0.33333333333333331</v>
      </c>
      <c r="N31" s="4">
        <f t="shared" si="11"/>
        <v>0.2</v>
      </c>
      <c r="O31" s="4">
        <f t="shared" si="13"/>
        <v>1</v>
      </c>
      <c r="R31" s="4">
        <f t="shared" si="10"/>
        <v>0.51111111111111107</v>
      </c>
    </row>
    <row r="32" spans="1:19" x14ac:dyDescent="0.25">
      <c r="A32">
        <f t="shared" si="12"/>
        <v>11</v>
      </c>
      <c r="B32" s="1" t="s">
        <v>6</v>
      </c>
      <c r="C32" s="1" t="s">
        <v>7</v>
      </c>
      <c r="D32" s="3" t="s">
        <v>3</v>
      </c>
      <c r="E32" s="1" t="s">
        <v>4</v>
      </c>
      <c r="F32" s="1" t="s">
        <v>5</v>
      </c>
      <c r="M32" s="4">
        <f t="shared" si="9"/>
        <v>0.25</v>
      </c>
      <c r="N32" s="4">
        <f t="shared" si="11"/>
        <v>0.2</v>
      </c>
      <c r="O32" s="4">
        <f t="shared" si="13"/>
        <v>1</v>
      </c>
      <c r="R32" s="4">
        <f t="shared" si="10"/>
        <v>0.48333333333333334</v>
      </c>
    </row>
    <row r="33" spans="1:18" x14ac:dyDescent="0.25">
      <c r="A33">
        <f t="shared" si="12"/>
        <v>12</v>
      </c>
      <c r="B33" s="1" t="s">
        <v>4</v>
      </c>
      <c r="C33" s="1" t="s">
        <v>5</v>
      </c>
      <c r="D33" s="1" t="s">
        <v>6</v>
      </c>
      <c r="E33" s="3" t="s">
        <v>3</v>
      </c>
      <c r="F33" s="1" t="s">
        <v>7</v>
      </c>
      <c r="M33" s="4">
        <f t="shared" si="9"/>
        <v>0.5</v>
      </c>
      <c r="N33" s="4">
        <f t="shared" si="11"/>
        <v>0.33333333333333331</v>
      </c>
      <c r="O33" s="4">
        <f t="shared" si="13"/>
        <v>0.25</v>
      </c>
      <c r="P33" s="4">
        <f t="shared" ref="P33:P37" si="14">HLOOKUP(E33,$B$2:$F$3,2,TRUE)</f>
        <v>1</v>
      </c>
      <c r="R33" s="4">
        <f t="shared" si="10"/>
        <v>0.52083333333333326</v>
      </c>
    </row>
    <row r="34" spans="1:18" x14ac:dyDescent="0.25">
      <c r="A34">
        <f t="shared" si="12"/>
        <v>13</v>
      </c>
      <c r="B34" s="1" t="s">
        <v>4</v>
      </c>
      <c r="C34" s="1" t="s">
        <v>5</v>
      </c>
      <c r="D34" s="1" t="s">
        <v>7</v>
      </c>
      <c r="E34" s="3" t="s">
        <v>3</v>
      </c>
      <c r="F34" s="1" t="s">
        <v>6</v>
      </c>
      <c r="M34" s="4">
        <f t="shared" si="9"/>
        <v>0.5</v>
      </c>
      <c r="N34" s="4">
        <f t="shared" si="11"/>
        <v>0.33333333333333331</v>
      </c>
      <c r="O34" s="4">
        <f t="shared" si="13"/>
        <v>0.2</v>
      </c>
      <c r="P34" s="4">
        <f t="shared" si="14"/>
        <v>1</v>
      </c>
      <c r="R34" s="4">
        <f t="shared" si="10"/>
        <v>0.5083333333333333</v>
      </c>
    </row>
    <row r="35" spans="1:18" x14ac:dyDescent="0.25">
      <c r="A35">
        <f t="shared" si="12"/>
        <v>14</v>
      </c>
      <c r="B35" s="1" t="s">
        <v>4</v>
      </c>
      <c r="C35" s="1" t="s">
        <v>6</v>
      </c>
      <c r="D35" s="1" t="s">
        <v>7</v>
      </c>
      <c r="E35" s="3" t="s">
        <v>3</v>
      </c>
      <c r="F35" s="1" t="s">
        <v>5</v>
      </c>
      <c r="M35" s="4">
        <f t="shared" si="9"/>
        <v>0.5</v>
      </c>
      <c r="N35" s="4">
        <f t="shared" si="11"/>
        <v>0.25</v>
      </c>
      <c r="O35" s="4">
        <f t="shared" si="13"/>
        <v>0.2</v>
      </c>
      <c r="P35" s="4">
        <f t="shared" si="14"/>
        <v>1</v>
      </c>
      <c r="R35" s="4">
        <f t="shared" si="10"/>
        <v>0.48749999999999999</v>
      </c>
    </row>
    <row r="36" spans="1:18" x14ac:dyDescent="0.25">
      <c r="A36">
        <f t="shared" si="12"/>
        <v>15</v>
      </c>
      <c r="B36" s="1" t="s">
        <v>5</v>
      </c>
      <c r="C36" s="1" t="s">
        <v>6</v>
      </c>
      <c r="D36" s="1" t="s">
        <v>7</v>
      </c>
      <c r="E36" s="3" t="s">
        <v>3</v>
      </c>
      <c r="F36" s="1" t="s">
        <v>4</v>
      </c>
      <c r="M36" s="4">
        <f t="shared" si="9"/>
        <v>0.33333333333333331</v>
      </c>
      <c r="N36" s="4">
        <f t="shared" si="11"/>
        <v>0.25</v>
      </c>
      <c r="O36" s="4">
        <f t="shared" si="13"/>
        <v>0.2</v>
      </c>
      <c r="P36" s="4">
        <f t="shared" si="14"/>
        <v>1</v>
      </c>
      <c r="R36" s="4">
        <f t="shared" si="10"/>
        <v>0.4458333333333333</v>
      </c>
    </row>
    <row r="37" spans="1:18" x14ac:dyDescent="0.25">
      <c r="A37">
        <f t="shared" si="12"/>
        <v>16</v>
      </c>
      <c r="B37" s="1" t="s">
        <v>4</v>
      </c>
      <c r="C37" s="1" t="s">
        <v>5</v>
      </c>
      <c r="D37" s="1" t="s">
        <v>6</v>
      </c>
      <c r="E37" s="1" t="s">
        <v>7</v>
      </c>
      <c r="F37" s="3" t="s">
        <v>3</v>
      </c>
      <c r="M37" s="4">
        <f t="shared" si="9"/>
        <v>0.5</v>
      </c>
      <c r="N37" s="4">
        <f t="shared" si="11"/>
        <v>0.33333333333333331</v>
      </c>
      <c r="O37" s="4">
        <f t="shared" si="13"/>
        <v>0.25</v>
      </c>
      <c r="P37" s="4">
        <f t="shared" si="14"/>
        <v>0.2</v>
      </c>
      <c r="Q37" s="4">
        <f t="shared" ref="Q37" si="15">HLOOKUP(F37,$B$2:$F$3,2,TRUE)</f>
        <v>1</v>
      </c>
      <c r="R37" s="4">
        <f t="shared" si="10"/>
        <v>0.45666666666666667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3CAB-9708-49DB-AE26-66FBC666727B}">
  <dimension ref="A1:AA103"/>
  <sheetViews>
    <sheetView tabSelected="1" zoomScaleNormal="100" workbookViewId="0"/>
  </sheetViews>
  <sheetFormatPr defaultRowHeight="15" x14ac:dyDescent="0.25"/>
  <cols>
    <col min="1" max="1" width="11.28515625" customWidth="1"/>
    <col min="2" max="2" width="11" customWidth="1"/>
    <col min="10" max="10" width="10.140625" customWidth="1"/>
  </cols>
  <sheetData>
    <row r="1" spans="1:11" x14ac:dyDescent="0.25">
      <c r="A1" t="s">
        <v>50</v>
      </c>
    </row>
    <row r="4" spans="1:11" x14ac:dyDescent="0.25">
      <c r="C4" s="6" t="s">
        <v>20</v>
      </c>
      <c r="D4" s="6"/>
      <c r="E4" s="6"/>
      <c r="F4" s="6"/>
      <c r="G4" s="6"/>
      <c r="H4" s="6"/>
      <c r="I4" s="6" t="s">
        <v>19</v>
      </c>
      <c r="J4" s="6"/>
      <c r="K4" s="1"/>
    </row>
    <row r="5" spans="1:11" x14ac:dyDescent="0.25">
      <c r="C5" s="6" t="s">
        <v>21</v>
      </c>
      <c r="D5" s="6"/>
      <c r="E5" s="6"/>
      <c r="F5" s="6"/>
      <c r="G5" s="6"/>
      <c r="H5" s="1" t="s">
        <v>16</v>
      </c>
      <c r="I5" s="1" t="s">
        <v>18</v>
      </c>
      <c r="J5" s="1" t="s">
        <v>17</v>
      </c>
    </row>
    <row r="6" spans="1:11" x14ac:dyDescent="0.25">
      <c r="A6" s="6" t="s">
        <v>15</v>
      </c>
      <c r="B6" s="6"/>
      <c r="C6">
        <v>0</v>
      </c>
      <c r="D6">
        <v>1</v>
      </c>
      <c r="E6">
        <v>2</v>
      </c>
      <c r="F6">
        <v>3</v>
      </c>
      <c r="G6">
        <v>4</v>
      </c>
    </row>
    <row r="7" spans="1:11" x14ac:dyDescent="0.25">
      <c r="A7" t="s">
        <v>13</v>
      </c>
      <c r="B7" t="s">
        <v>14</v>
      </c>
    </row>
    <row r="8" spans="1:11" x14ac:dyDescent="0.25">
      <c r="A8">
        <v>2</v>
      </c>
      <c r="B8">
        <v>1</v>
      </c>
      <c r="C8">
        <f t="shared" ref="C8:F12" si="0">1/($A8-C$6)</f>
        <v>0.5</v>
      </c>
      <c r="H8">
        <f>AVERAGE(C8:G8)</f>
        <v>0.5</v>
      </c>
      <c r="I8">
        <f>1-H8</f>
        <v>0.5</v>
      </c>
      <c r="J8">
        <f>SUM(I$8:I8)</f>
        <v>0.5</v>
      </c>
    </row>
    <row r="9" spans="1:11" x14ac:dyDescent="0.25">
      <c r="A9">
        <v>3</v>
      </c>
      <c r="B9">
        <v>2</v>
      </c>
      <c r="C9">
        <f t="shared" si="0"/>
        <v>0.33333333333333331</v>
      </c>
      <c r="D9">
        <f t="shared" si="0"/>
        <v>0.5</v>
      </c>
      <c r="H9">
        <f>AVERAGE(C9:G9)</f>
        <v>0.41666666666666663</v>
      </c>
      <c r="I9">
        <f t="shared" ref="I9:I12" si="1">1-H9</f>
        <v>0.58333333333333337</v>
      </c>
      <c r="J9">
        <f>SUM(I$8:I9)</f>
        <v>1.0833333333333335</v>
      </c>
    </row>
    <row r="10" spans="1:11" x14ac:dyDescent="0.25">
      <c r="A10">
        <v>4</v>
      </c>
      <c r="B10">
        <v>3</v>
      </c>
      <c r="C10">
        <f t="shared" si="0"/>
        <v>0.25</v>
      </c>
      <c r="D10">
        <f t="shared" si="0"/>
        <v>0.33333333333333331</v>
      </c>
      <c r="E10">
        <f t="shared" si="0"/>
        <v>0.5</v>
      </c>
      <c r="H10">
        <f>AVERAGE(C10:G10)</f>
        <v>0.3611111111111111</v>
      </c>
      <c r="I10">
        <f t="shared" si="1"/>
        <v>0.63888888888888884</v>
      </c>
      <c r="J10">
        <f>SUM(I$8:I10)</f>
        <v>1.7222222222222223</v>
      </c>
    </row>
    <row r="11" spans="1:11" x14ac:dyDescent="0.25">
      <c r="A11">
        <v>5</v>
      </c>
      <c r="B11">
        <v>4</v>
      </c>
      <c r="C11">
        <f t="shared" si="0"/>
        <v>0.2</v>
      </c>
      <c r="D11">
        <f t="shared" si="0"/>
        <v>0.25</v>
      </c>
      <c r="E11">
        <f t="shared" si="0"/>
        <v>0.33333333333333331</v>
      </c>
      <c r="F11">
        <f t="shared" si="0"/>
        <v>0.5</v>
      </c>
      <c r="H11">
        <f>AVERAGE(C11:G11)</f>
        <v>0.3208333333333333</v>
      </c>
      <c r="I11">
        <f t="shared" si="1"/>
        <v>0.6791666666666667</v>
      </c>
      <c r="J11">
        <f>SUM(I$8:I11)</f>
        <v>2.401388888888889</v>
      </c>
    </row>
    <row r="12" spans="1:11" x14ac:dyDescent="0.25">
      <c r="A12">
        <v>6</v>
      </c>
      <c r="B12">
        <v>5</v>
      </c>
      <c r="C12">
        <f t="shared" si="0"/>
        <v>0.16666666666666666</v>
      </c>
      <c r="D12">
        <f t="shared" si="0"/>
        <v>0.2</v>
      </c>
      <c r="E12">
        <f t="shared" si="0"/>
        <v>0.25</v>
      </c>
      <c r="F12">
        <f>1/($A12-F$6)</f>
        <v>0.33333333333333331</v>
      </c>
      <c r="G12">
        <f>1/($A12-G$6)</f>
        <v>0.5</v>
      </c>
      <c r="H12">
        <f>AVERAGE(C12:G12)</f>
        <v>0.28999999999999998</v>
      </c>
      <c r="I12">
        <f t="shared" si="1"/>
        <v>0.71</v>
      </c>
      <c r="J12">
        <f>SUM(I$8:I12)</f>
        <v>3.111388888888889</v>
      </c>
    </row>
    <row r="14" spans="1:11" x14ac:dyDescent="0.25">
      <c r="A14" t="s">
        <v>23</v>
      </c>
      <c r="B14">
        <v>2</v>
      </c>
      <c r="C14" s="6" t="s">
        <v>20</v>
      </c>
      <c r="D14" s="6"/>
      <c r="E14" s="6"/>
      <c r="F14" s="6"/>
      <c r="G14" s="6"/>
    </row>
    <row r="15" spans="1:11" x14ac:dyDescent="0.25">
      <c r="C15" s="6" t="s">
        <v>21</v>
      </c>
      <c r="D15" s="6"/>
      <c r="E15" s="6"/>
      <c r="F15" s="6"/>
      <c r="G15" s="6"/>
    </row>
    <row r="16" spans="1:11" x14ac:dyDescent="0.25">
      <c r="B16" t="s">
        <v>22</v>
      </c>
      <c r="C16">
        <v>0</v>
      </c>
      <c r="D16">
        <v>1</v>
      </c>
      <c r="E16">
        <v>2</v>
      </c>
      <c r="F16">
        <v>3</v>
      </c>
      <c r="G16">
        <v>4</v>
      </c>
    </row>
    <row r="17" spans="1:10" x14ac:dyDescent="0.25">
      <c r="A17" t="s">
        <v>24</v>
      </c>
      <c r="B17">
        <v>0</v>
      </c>
      <c r="C17">
        <f>1/($B$14-C$6)</f>
        <v>0.5</v>
      </c>
      <c r="H17">
        <f t="shared" ref="H17" si="2">AVERAGE(C17:G17)</f>
        <v>0.5</v>
      </c>
      <c r="I17">
        <f t="shared" ref="I17" si="3">1-H17</f>
        <v>0.5</v>
      </c>
      <c r="J17">
        <f>SUM(I$17:I17)</f>
        <v>0.5</v>
      </c>
    </row>
    <row r="19" spans="1:10" x14ac:dyDescent="0.25">
      <c r="A19" t="s">
        <v>23</v>
      </c>
      <c r="B19">
        <v>3</v>
      </c>
      <c r="C19" s="6" t="s">
        <v>20</v>
      </c>
      <c r="D19" s="6"/>
      <c r="E19" s="6"/>
      <c r="F19" s="6"/>
      <c r="G19" s="6"/>
    </row>
    <row r="20" spans="1:10" x14ac:dyDescent="0.25">
      <c r="C20" s="6" t="s">
        <v>21</v>
      </c>
      <c r="D20" s="6"/>
      <c r="E20" s="6"/>
      <c r="F20" s="6"/>
      <c r="G20" s="6"/>
    </row>
    <row r="21" spans="1:10" x14ac:dyDescent="0.25">
      <c r="B21" t="s">
        <v>22</v>
      </c>
      <c r="C21">
        <v>0</v>
      </c>
      <c r="D21">
        <v>1</v>
      </c>
      <c r="E21">
        <v>2</v>
      </c>
      <c r="F21">
        <v>3</v>
      </c>
      <c r="G21">
        <v>4</v>
      </c>
    </row>
    <row r="22" spans="1:10" x14ac:dyDescent="0.25">
      <c r="A22" t="s">
        <v>24</v>
      </c>
      <c r="B22">
        <v>0</v>
      </c>
      <c r="C22">
        <f>1/($B$19-C$6)</f>
        <v>0.33333333333333331</v>
      </c>
      <c r="D22">
        <f>1/($B$19-D$6)</f>
        <v>0.5</v>
      </c>
      <c r="H22">
        <f t="shared" ref="H22:H23" si="4">AVERAGE(C22:G22)</f>
        <v>0.41666666666666663</v>
      </c>
      <c r="I22">
        <f t="shared" ref="I22:I23" si="5">1-H22</f>
        <v>0.58333333333333337</v>
      </c>
      <c r="J22">
        <f>SUM(I$22:I22)</f>
        <v>0.58333333333333337</v>
      </c>
    </row>
    <row r="23" spans="1:10" x14ac:dyDescent="0.25">
      <c r="A23" t="s">
        <v>25</v>
      </c>
      <c r="B23">
        <v>1</v>
      </c>
      <c r="C23">
        <f>1/($B$19-C$6)</f>
        <v>0.33333333333333331</v>
      </c>
      <c r="H23">
        <f t="shared" si="4"/>
        <v>0.33333333333333331</v>
      </c>
      <c r="I23">
        <f t="shared" si="5"/>
        <v>0.66666666666666674</v>
      </c>
      <c r="J23">
        <f>SUM(I$22:I23)</f>
        <v>1.25</v>
      </c>
    </row>
    <row r="25" spans="1:10" x14ac:dyDescent="0.25">
      <c r="A25" t="s">
        <v>23</v>
      </c>
      <c r="B25">
        <v>4</v>
      </c>
      <c r="C25" s="6" t="s">
        <v>20</v>
      </c>
      <c r="D25" s="6"/>
      <c r="E25" s="6"/>
      <c r="F25" s="6"/>
      <c r="G25" s="6"/>
    </row>
    <row r="26" spans="1:10" x14ac:dyDescent="0.25">
      <c r="C26" s="6" t="s">
        <v>21</v>
      </c>
      <c r="D26" s="6"/>
      <c r="E26" s="6"/>
      <c r="F26" s="6"/>
      <c r="G26" s="6"/>
    </row>
    <row r="27" spans="1:10" x14ac:dyDescent="0.25">
      <c r="B27" t="s">
        <v>22</v>
      </c>
      <c r="C27">
        <v>0</v>
      </c>
      <c r="D27">
        <v>1</v>
      </c>
      <c r="E27">
        <v>2</v>
      </c>
      <c r="F27">
        <v>3</v>
      </c>
      <c r="G27">
        <v>4</v>
      </c>
    </row>
    <row r="28" spans="1:10" x14ac:dyDescent="0.25">
      <c r="A28" t="s">
        <v>24</v>
      </c>
      <c r="B28">
        <v>0</v>
      </c>
      <c r="C28">
        <f>1/($B$25-C$6)</f>
        <v>0.25</v>
      </c>
      <c r="D28">
        <f>1/($B$25-D$6)</f>
        <v>0.33333333333333331</v>
      </c>
      <c r="E28">
        <f>1/($B$25-E$6)</f>
        <v>0.5</v>
      </c>
      <c r="H28">
        <f t="shared" ref="H28:H30" si="6">AVERAGE(C28:G28)</f>
        <v>0.3611111111111111</v>
      </c>
      <c r="I28">
        <f t="shared" ref="I28:I30" si="7">1-H28</f>
        <v>0.63888888888888884</v>
      </c>
      <c r="J28">
        <f>SUM(I$28:I28)</f>
        <v>0.63888888888888884</v>
      </c>
    </row>
    <row r="29" spans="1:10" x14ac:dyDescent="0.25">
      <c r="A29" t="s">
        <v>25</v>
      </c>
      <c r="B29">
        <v>1</v>
      </c>
      <c r="C29">
        <f>1/($B$25-C$6)</f>
        <v>0.25</v>
      </c>
      <c r="D29">
        <f>1/($B$25-D$6)</f>
        <v>0.33333333333333331</v>
      </c>
      <c r="H29">
        <f t="shared" si="6"/>
        <v>0.29166666666666663</v>
      </c>
      <c r="I29">
        <f t="shared" si="7"/>
        <v>0.70833333333333337</v>
      </c>
      <c r="J29">
        <f>SUM(I$28:I29)</f>
        <v>1.3472222222222223</v>
      </c>
    </row>
    <row r="30" spans="1:10" x14ac:dyDescent="0.25">
      <c r="A30" t="s">
        <v>25</v>
      </c>
      <c r="B30">
        <v>2</v>
      </c>
      <c r="C30">
        <f>1/($B$25-C$6)</f>
        <v>0.25</v>
      </c>
      <c r="H30">
        <f t="shared" si="6"/>
        <v>0.25</v>
      </c>
      <c r="I30">
        <f t="shared" si="7"/>
        <v>0.75</v>
      </c>
      <c r="J30">
        <f>SUM(I$28:I30)</f>
        <v>2.0972222222222223</v>
      </c>
    </row>
    <row r="32" spans="1:10" x14ac:dyDescent="0.25">
      <c r="A32" t="s">
        <v>23</v>
      </c>
      <c r="B32">
        <v>5</v>
      </c>
      <c r="C32" s="6" t="s">
        <v>20</v>
      </c>
      <c r="D32" s="6"/>
      <c r="E32" s="6"/>
      <c r="F32" s="6"/>
      <c r="G32" s="6"/>
    </row>
    <row r="33" spans="1:15" x14ac:dyDescent="0.25">
      <c r="C33" s="6" t="s">
        <v>21</v>
      </c>
      <c r="D33" s="6"/>
      <c r="E33" s="6"/>
      <c r="F33" s="6"/>
      <c r="G33" s="6"/>
    </row>
    <row r="34" spans="1:15" x14ac:dyDescent="0.25">
      <c r="B34" t="s">
        <v>22</v>
      </c>
      <c r="C34">
        <v>0</v>
      </c>
      <c r="D34">
        <v>1</v>
      </c>
      <c r="E34">
        <v>2</v>
      </c>
      <c r="F34">
        <v>3</v>
      </c>
      <c r="G34">
        <v>4</v>
      </c>
    </row>
    <row r="35" spans="1:15" x14ac:dyDescent="0.25">
      <c r="A35" t="s">
        <v>24</v>
      </c>
      <c r="B35">
        <v>0</v>
      </c>
      <c r="C35">
        <f>1/($B$32-C$6)</f>
        <v>0.2</v>
      </c>
      <c r="D35">
        <f t="shared" ref="D35:F37" si="8">1/($B$32-D$6)</f>
        <v>0.25</v>
      </c>
      <c r="E35">
        <f t="shared" si="8"/>
        <v>0.33333333333333331</v>
      </c>
      <c r="F35">
        <f t="shared" si="8"/>
        <v>0.5</v>
      </c>
      <c r="H35">
        <f t="shared" ref="H35:H37" si="9">AVERAGE(C35:G35)</f>
        <v>0.3208333333333333</v>
      </c>
      <c r="I35">
        <f t="shared" ref="I35:I38" si="10">1-H35</f>
        <v>0.6791666666666667</v>
      </c>
      <c r="J35">
        <f>SUM(I$35:I35)</f>
        <v>0.6791666666666667</v>
      </c>
    </row>
    <row r="36" spans="1:15" x14ac:dyDescent="0.25">
      <c r="A36" t="s">
        <v>25</v>
      </c>
      <c r="B36">
        <v>1</v>
      </c>
      <c r="C36">
        <f t="shared" ref="C36:C37" si="11">1/($B$32-C$6)</f>
        <v>0.2</v>
      </c>
      <c r="D36">
        <f t="shared" si="8"/>
        <v>0.25</v>
      </c>
      <c r="E36">
        <f>1/($B$32-E$6)</f>
        <v>0.33333333333333331</v>
      </c>
      <c r="H36">
        <f t="shared" si="9"/>
        <v>0.26111111111111113</v>
      </c>
      <c r="I36">
        <f t="shared" si="10"/>
        <v>0.73888888888888893</v>
      </c>
      <c r="J36">
        <f>SUM(I$35:I36)</f>
        <v>1.4180555555555556</v>
      </c>
    </row>
    <row r="37" spans="1:15" x14ac:dyDescent="0.25">
      <c r="A37" t="s">
        <v>25</v>
      </c>
      <c r="B37">
        <v>2</v>
      </c>
      <c r="C37">
        <f t="shared" si="11"/>
        <v>0.2</v>
      </c>
      <c r="D37">
        <f t="shared" si="8"/>
        <v>0.25</v>
      </c>
      <c r="H37">
        <f t="shared" si="9"/>
        <v>0.22500000000000001</v>
      </c>
      <c r="I37">
        <f t="shared" si="10"/>
        <v>0.77500000000000002</v>
      </c>
      <c r="J37">
        <f>SUM(I$35:I37)</f>
        <v>2.1930555555555555</v>
      </c>
    </row>
    <row r="38" spans="1:15" x14ac:dyDescent="0.25">
      <c r="A38" t="s">
        <v>25</v>
      </c>
      <c r="B38">
        <v>3</v>
      </c>
      <c r="C38">
        <f>1/($B$32-C$6)</f>
        <v>0.2</v>
      </c>
      <c r="H38">
        <f t="shared" ref="H38" si="12">AVERAGE(C38:G38)</f>
        <v>0.2</v>
      </c>
      <c r="I38">
        <f t="shared" si="10"/>
        <v>0.8</v>
      </c>
      <c r="J38">
        <f>SUM(I$35:I38)</f>
        <v>2.9930555555555554</v>
      </c>
    </row>
    <row r="40" spans="1:15" x14ac:dyDescent="0.25">
      <c r="A40" t="s">
        <v>23</v>
      </c>
      <c r="B40">
        <v>6</v>
      </c>
      <c r="C40" s="6" t="s">
        <v>20</v>
      </c>
      <c r="D40" s="6"/>
      <c r="E40" s="6"/>
      <c r="F40" s="6"/>
      <c r="G40" s="6"/>
    </row>
    <row r="41" spans="1:15" x14ac:dyDescent="0.25">
      <c r="C41" s="6" t="s">
        <v>21</v>
      </c>
      <c r="D41" s="6"/>
      <c r="E41" s="6"/>
      <c r="F41" s="6"/>
      <c r="G41" s="6"/>
    </row>
    <row r="42" spans="1:15" x14ac:dyDescent="0.25">
      <c r="B42" t="s">
        <v>22</v>
      </c>
      <c r="C42">
        <v>0</v>
      </c>
      <c r="D42">
        <v>1</v>
      </c>
      <c r="E42">
        <v>2</v>
      </c>
      <c r="F42">
        <v>3</v>
      </c>
      <c r="G42">
        <v>4</v>
      </c>
      <c r="M42" t="s">
        <v>13</v>
      </c>
      <c r="N42" t="s">
        <v>14</v>
      </c>
      <c r="O42" t="s">
        <v>56</v>
      </c>
    </row>
    <row r="43" spans="1:15" x14ac:dyDescent="0.25">
      <c r="A43" t="s">
        <v>24</v>
      </c>
      <c r="B43">
        <v>0</v>
      </c>
      <c r="C43">
        <f>1/($B$40-C$6)</f>
        <v>0.16666666666666666</v>
      </c>
      <c r="D43">
        <f t="shared" ref="D43:G46" si="13">1/($B$40-D$6)</f>
        <v>0.2</v>
      </c>
      <c r="E43">
        <f t="shared" si="13"/>
        <v>0.25</v>
      </c>
      <c r="F43">
        <f t="shared" si="13"/>
        <v>0.33333333333333331</v>
      </c>
      <c r="G43">
        <f t="shared" si="13"/>
        <v>0.5</v>
      </c>
      <c r="H43">
        <f t="shared" ref="H43:H46" si="14">AVERAGE(C43:G43)</f>
        <v>0.28999999999999998</v>
      </c>
      <c r="I43">
        <f t="shared" ref="I43:I47" si="15">1-H43</f>
        <v>0.71</v>
      </c>
      <c r="J43">
        <f>SUM(I$43:I43)</f>
        <v>0.71</v>
      </c>
      <c r="M43">
        <v>2</v>
      </c>
      <c r="N43">
        <v>1</v>
      </c>
    </row>
    <row r="44" spans="1:15" x14ac:dyDescent="0.25">
      <c r="A44" t="s">
        <v>25</v>
      </c>
      <c r="B44">
        <v>1</v>
      </c>
      <c r="C44">
        <f t="shared" ref="C44:C47" si="16">1/($B$40-C$6)</f>
        <v>0.16666666666666666</v>
      </c>
      <c r="D44">
        <f t="shared" si="13"/>
        <v>0.2</v>
      </c>
      <c r="E44">
        <f t="shared" si="13"/>
        <v>0.25</v>
      </c>
      <c r="F44">
        <f t="shared" si="13"/>
        <v>0.33333333333333331</v>
      </c>
      <c r="H44">
        <f t="shared" si="14"/>
        <v>0.23749999999999999</v>
      </c>
      <c r="I44">
        <f t="shared" si="15"/>
        <v>0.76249999999999996</v>
      </c>
      <c r="J44">
        <f>SUM(I$43:I44)</f>
        <v>1.4724999999999999</v>
      </c>
      <c r="M44">
        <v>3</v>
      </c>
      <c r="N44">
        <v>2</v>
      </c>
    </row>
    <row r="45" spans="1:15" x14ac:dyDescent="0.25">
      <c r="A45" t="s">
        <v>25</v>
      </c>
      <c r="B45">
        <v>2</v>
      </c>
      <c r="C45">
        <f t="shared" si="16"/>
        <v>0.16666666666666666</v>
      </c>
      <c r="D45">
        <f t="shared" si="13"/>
        <v>0.2</v>
      </c>
      <c r="E45">
        <f t="shared" si="13"/>
        <v>0.25</v>
      </c>
      <c r="H45">
        <f t="shared" si="14"/>
        <v>0.20555555555555557</v>
      </c>
      <c r="I45">
        <f t="shared" si="15"/>
        <v>0.7944444444444444</v>
      </c>
      <c r="J45">
        <f>SUM(I$43:I45)</f>
        <v>2.2669444444444444</v>
      </c>
      <c r="M45">
        <v>4</v>
      </c>
      <c r="N45">
        <v>3</v>
      </c>
    </row>
    <row r="46" spans="1:15" x14ac:dyDescent="0.25">
      <c r="A46" t="s">
        <v>25</v>
      </c>
      <c r="B46">
        <v>3</v>
      </c>
      <c r="C46">
        <f t="shared" si="16"/>
        <v>0.16666666666666666</v>
      </c>
      <c r="D46">
        <f t="shared" si="13"/>
        <v>0.2</v>
      </c>
      <c r="H46">
        <f t="shared" si="14"/>
        <v>0.18333333333333335</v>
      </c>
      <c r="I46">
        <f t="shared" si="15"/>
        <v>0.81666666666666665</v>
      </c>
      <c r="J46">
        <f>SUM(I$43:I46)</f>
        <v>3.0836111111111109</v>
      </c>
      <c r="M46">
        <v>5</v>
      </c>
      <c r="N46">
        <v>4</v>
      </c>
    </row>
    <row r="47" spans="1:15" x14ac:dyDescent="0.25">
      <c r="A47" t="s">
        <v>25</v>
      </c>
      <c r="B47">
        <v>4</v>
      </c>
      <c r="C47">
        <f t="shared" si="16"/>
        <v>0.16666666666666666</v>
      </c>
      <c r="H47">
        <f t="shared" ref="H47" si="17">AVERAGE(C47:G47)</f>
        <v>0.16666666666666666</v>
      </c>
      <c r="I47">
        <f t="shared" si="15"/>
        <v>0.83333333333333337</v>
      </c>
      <c r="J47">
        <f>SUM(I$43:I47)</f>
        <v>3.9169444444444443</v>
      </c>
      <c r="M47">
        <v>6</v>
      </c>
      <c r="N47">
        <v>5</v>
      </c>
    </row>
    <row r="50" spans="1:27" x14ac:dyDescent="0.25">
      <c r="C50" s="6" t="s">
        <v>20</v>
      </c>
      <c r="D50" s="6"/>
      <c r="E50" s="6"/>
      <c r="F50" s="6"/>
      <c r="G50" s="6"/>
      <c r="H50" s="6"/>
      <c r="I50" s="1"/>
      <c r="J50" s="6" t="s">
        <v>31</v>
      </c>
      <c r="K50" s="6"/>
      <c r="L50" s="6"/>
      <c r="M50" s="6" t="s">
        <v>30</v>
      </c>
      <c r="N50" s="6"/>
      <c r="O50" s="6"/>
      <c r="P50" s="6" t="s">
        <v>29</v>
      </c>
      <c r="Q50" s="6"/>
      <c r="R50" s="6"/>
      <c r="S50" s="6" t="s">
        <v>28</v>
      </c>
      <c r="T50" s="6"/>
      <c r="U50" s="6"/>
      <c r="V50" s="6" t="s">
        <v>35</v>
      </c>
      <c r="W50" s="6"/>
      <c r="X50" s="6"/>
      <c r="Y50" s="6"/>
      <c r="Z50" s="6"/>
      <c r="AA50" s="6"/>
    </row>
    <row r="51" spans="1:27" x14ac:dyDescent="0.25">
      <c r="C51" s="6" t="s">
        <v>21</v>
      </c>
      <c r="D51" s="6"/>
      <c r="E51" s="6"/>
      <c r="F51" s="6"/>
      <c r="G51" s="6"/>
      <c r="H51" s="1" t="s">
        <v>16</v>
      </c>
      <c r="I51" s="1" t="s">
        <v>19</v>
      </c>
      <c r="J51" s="1" t="s">
        <v>26</v>
      </c>
      <c r="K51" s="1" t="s">
        <v>27</v>
      </c>
      <c r="L51" s="1" t="s">
        <v>17</v>
      </c>
      <c r="M51" s="1" t="s">
        <v>26</v>
      </c>
      <c r="N51" s="1" t="s">
        <v>27</v>
      </c>
      <c r="O51" s="1" t="s">
        <v>17</v>
      </c>
      <c r="P51" s="1" t="s">
        <v>26</v>
      </c>
      <c r="Q51" s="1" t="s">
        <v>27</v>
      </c>
      <c r="R51" s="1" t="s">
        <v>17</v>
      </c>
      <c r="S51" s="1" t="s">
        <v>26</v>
      </c>
      <c r="T51" s="1" t="s">
        <v>27</v>
      </c>
      <c r="U51" s="1" t="s">
        <v>17</v>
      </c>
      <c r="V51" s="1" t="s">
        <v>26</v>
      </c>
      <c r="W51" s="1" t="s">
        <v>27</v>
      </c>
      <c r="X51" s="1" t="s">
        <v>17</v>
      </c>
      <c r="Y51" s="1"/>
      <c r="Z51" s="1"/>
      <c r="AA51" s="1"/>
    </row>
    <row r="52" spans="1:27" x14ac:dyDescent="0.25">
      <c r="A52" s="6" t="s">
        <v>15</v>
      </c>
      <c r="B52" s="6"/>
      <c r="C52">
        <v>0</v>
      </c>
      <c r="D52">
        <v>1</v>
      </c>
      <c r="E52">
        <v>2</v>
      </c>
      <c r="F52">
        <v>3</v>
      </c>
      <c r="G52">
        <v>4</v>
      </c>
    </row>
    <row r="53" spans="1:27" x14ac:dyDescent="0.25">
      <c r="A53" t="s">
        <v>13</v>
      </c>
      <c r="B53" t="s">
        <v>14</v>
      </c>
    </row>
    <row r="54" spans="1:27" x14ac:dyDescent="0.25">
      <c r="A54">
        <v>2</v>
      </c>
      <c r="B54">
        <v>1</v>
      </c>
      <c r="C54">
        <f>1/($A54-C$6)</f>
        <v>0.5</v>
      </c>
      <c r="H54">
        <f>AVERAGE(C54:G54)</f>
        <v>0.5</v>
      </c>
      <c r="I54">
        <f>1-H54</f>
        <v>0.5</v>
      </c>
      <c r="J54">
        <v>1</v>
      </c>
      <c r="K54">
        <f>$I54*J54</f>
        <v>0.5</v>
      </c>
      <c r="L54">
        <f>SUM(K$54:K54)</f>
        <v>0.5</v>
      </c>
      <c r="M54">
        <v>2</v>
      </c>
      <c r="N54">
        <f>$I54*M54</f>
        <v>1</v>
      </c>
      <c r="O54">
        <f>SUM(N$54:N54)</f>
        <v>1</v>
      </c>
      <c r="P54">
        <v>3</v>
      </c>
      <c r="Q54">
        <f t="shared" ref="Q54:Q56" si="18">$I54*P54</f>
        <v>1.5</v>
      </c>
      <c r="R54">
        <f>SUM(Q$54:Q54)</f>
        <v>1.5</v>
      </c>
      <c r="S54">
        <v>4</v>
      </c>
      <c r="T54">
        <f t="shared" ref="T54:T57" si="19">$I54*S54</f>
        <v>2</v>
      </c>
      <c r="U54">
        <f>SUM(T$54:T54)</f>
        <v>2</v>
      </c>
      <c r="V54">
        <v>5</v>
      </c>
      <c r="W54">
        <f t="shared" ref="W54:W57" si="20">$I54*V54</f>
        <v>2.5</v>
      </c>
      <c r="X54">
        <f>SUM(W$54:W54)</f>
        <v>2.5</v>
      </c>
    </row>
    <row r="55" spans="1:27" x14ac:dyDescent="0.25">
      <c r="A55">
        <v>3</v>
      </c>
      <c r="B55">
        <v>2</v>
      </c>
      <c r="C55">
        <f>1/($A55-C$6)</f>
        <v>0.33333333333333331</v>
      </c>
      <c r="D55">
        <f t="shared" ref="C55:F58" si="21">1/($A55-D$6)</f>
        <v>0.5</v>
      </c>
      <c r="H55">
        <f>AVERAGE(C55:G55)</f>
        <v>0.41666666666666663</v>
      </c>
      <c r="I55">
        <f t="shared" ref="I55:I58" si="22">1-H55</f>
        <v>0.58333333333333337</v>
      </c>
      <c r="M55">
        <v>1</v>
      </c>
      <c r="N55">
        <f>$I55*M55</f>
        <v>0.58333333333333337</v>
      </c>
      <c r="O55">
        <f>SUM(N$54:N55)</f>
        <v>1.5833333333333335</v>
      </c>
      <c r="P55">
        <v>3</v>
      </c>
      <c r="Q55">
        <f t="shared" si="18"/>
        <v>1.75</v>
      </c>
      <c r="R55">
        <f>SUM(Q$54:Q55)</f>
        <v>3.25</v>
      </c>
      <c r="S55">
        <v>6</v>
      </c>
      <c r="T55">
        <f t="shared" si="19"/>
        <v>3.5</v>
      </c>
      <c r="U55">
        <f>SUM(T$54:T55)</f>
        <v>5.5</v>
      </c>
      <c r="V55">
        <v>10</v>
      </c>
      <c r="W55">
        <f t="shared" si="20"/>
        <v>5.8333333333333339</v>
      </c>
      <c r="X55">
        <f>SUM(W$54:W55)</f>
        <v>8.3333333333333339</v>
      </c>
    </row>
    <row r="56" spans="1:27" x14ac:dyDescent="0.25">
      <c r="A56">
        <v>4</v>
      </c>
      <c r="B56">
        <v>3</v>
      </c>
      <c r="C56">
        <f t="shared" si="21"/>
        <v>0.25</v>
      </c>
      <c r="D56">
        <f t="shared" si="21"/>
        <v>0.33333333333333331</v>
      </c>
      <c r="E56">
        <f t="shared" si="21"/>
        <v>0.5</v>
      </c>
      <c r="H56">
        <f>AVERAGE(C56:G56)</f>
        <v>0.3611111111111111</v>
      </c>
      <c r="I56">
        <f t="shared" si="22"/>
        <v>0.63888888888888884</v>
      </c>
      <c r="P56">
        <v>1</v>
      </c>
      <c r="Q56">
        <f t="shared" si="18"/>
        <v>0.63888888888888884</v>
      </c>
      <c r="R56">
        <f>SUM(Q$54:Q56)</f>
        <v>3.8888888888888888</v>
      </c>
      <c r="S56">
        <v>4</v>
      </c>
      <c r="T56">
        <f t="shared" si="19"/>
        <v>2.5555555555555554</v>
      </c>
      <c r="U56">
        <f>SUM(T$54:T56)</f>
        <v>8.0555555555555554</v>
      </c>
      <c r="V56">
        <v>10</v>
      </c>
      <c r="W56">
        <f t="shared" si="20"/>
        <v>6.3888888888888884</v>
      </c>
      <c r="X56">
        <f>SUM(W$54:W56)</f>
        <v>14.722222222222221</v>
      </c>
    </row>
    <row r="57" spans="1:27" x14ac:dyDescent="0.25">
      <c r="A57">
        <v>5</v>
      </c>
      <c r="B57">
        <v>4</v>
      </c>
      <c r="C57">
        <f t="shared" si="21"/>
        <v>0.2</v>
      </c>
      <c r="D57">
        <f t="shared" si="21"/>
        <v>0.25</v>
      </c>
      <c r="E57">
        <f t="shared" si="21"/>
        <v>0.33333333333333331</v>
      </c>
      <c r="F57">
        <f t="shared" si="21"/>
        <v>0.5</v>
      </c>
      <c r="H57">
        <f>AVERAGE(C57:G57)</f>
        <v>0.3208333333333333</v>
      </c>
      <c r="I57">
        <f t="shared" si="22"/>
        <v>0.6791666666666667</v>
      </c>
      <c r="S57">
        <v>1</v>
      </c>
      <c r="T57">
        <f t="shared" si="19"/>
        <v>0.6791666666666667</v>
      </c>
      <c r="U57">
        <f>SUM(T$54:T57)</f>
        <v>8.7347222222222225</v>
      </c>
      <c r="V57">
        <v>5</v>
      </c>
      <c r="W57">
        <f t="shared" si="20"/>
        <v>3.3958333333333335</v>
      </c>
      <c r="X57">
        <f>SUM(W$54:W57)</f>
        <v>18.118055555555554</v>
      </c>
    </row>
    <row r="58" spans="1:27" x14ac:dyDescent="0.25">
      <c r="A58">
        <v>6</v>
      </c>
      <c r="B58">
        <v>5</v>
      </c>
      <c r="C58">
        <f t="shared" si="21"/>
        <v>0.16666666666666666</v>
      </c>
      <c r="D58">
        <f t="shared" si="21"/>
        <v>0.2</v>
      </c>
      <c r="E58">
        <f t="shared" si="21"/>
        <v>0.25</v>
      </c>
      <c r="F58">
        <f>1/($A58-F$6)</f>
        <v>0.33333333333333331</v>
      </c>
      <c r="G58">
        <f>1/($A58-G$6)</f>
        <v>0.5</v>
      </c>
      <c r="H58">
        <f>AVERAGE(C58:G58)</f>
        <v>0.28999999999999998</v>
      </c>
      <c r="I58">
        <f t="shared" si="22"/>
        <v>0.71</v>
      </c>
      <c r="V58">
        <v>1</v>
      </c>
      <c r="W58">
        <f>$I58*V58</f>
        <v>0.71</v>
      </c>
      <c r="X58">
        <f>SUM(W$54:W58)</f>
        <v>18.828055555555554</v>
      </c>
    </row>
    <row r="59" spans="1:27" x14ac:dyDescent="0.25">
      <c r="A59" t="s">
        <v>53</v>
      </c>
      <c r="J59">
        <f>SUM(J54:J58)</f>
        <v>1</v>
      </c>
      <c r="M59">
        <f>SUM(M54:M58)</f>
        <v>3</v>
      </c>
      <c r="P59">
        <f>SUM(P54:P58)</f>
        <v>7</v>
      </c>
      <c r="S59">
        <f>SUM(S54:S58)</f>
        <v>15</v>
      </c>
      <c r="V59">
        <f>SUM(V54:V58)</f>
        <v>31</v>
      </c>
    </row>
    <row r="60" spans="1:27" x14ac:dyDescent="0.25">
      <c r="A60" t="s">
        <v>50</v>
      </c>
      <c r="G60" s="6" t="s">
        <v>54</v>
      </c>
      <c r="H60" s="6"/>
      <c r="I60" s="6"/>
      <c r="J60" s="6"/>
    </row>
    <row r="61" spans="1:27" x14ac:dyDescent="0.25">
      <c r="B61" t="s">
        <v>32</v>
      </c>
      <c r="C61" t="s">
        <v>33</v>
      </c>
      <c r="D61" t="s">
        <v>36</v>
      </c>
      <c r="E61" t="s">
        <v>37</v>
      </c>
      <c r="F61" t="s">
        <v>34</v>
      </c>
      <c r="G61" t="s">
        <v>33</v>
      </c>
      <c r="H61" t="s">
        <v>36</v>
      </c>
      <c r="I61" t="s">
        <v>37</v>
      </c>
      <c r="J61" t="s">
        <v>34</v>
      </c>
    </row>
    <row r="62" spans="1:27" x14ac:dyDescent="0.25">
      <c r="B62">
        <v>1</v>
      </c>
      <c r="C62" s="5">
        <f t="shared" ref="C62:D64" si="23">I8</f>
        <v>0.5</v>
      </c>
      <c r="D62" s="5">
        <f t="shared" si="23"/>
        <v>0.5</v>
      </c>
      <c r="E62" s="5">
        <f>J17</f>
        <v>0.5</v>
      </c>
      <c r="F62" s="5">
        <f>L54</f>
        <v>0.5</v>
      </c>
      <c r="G62">
        <v>1</v>
      </c>
      <c r="H62">
        <v>1</v>
      </c>
      <c r="I62">
        <v>1</v>
      </c>
      <c r="J62">
        <f>J59</f>
        <v>1</v>
      </c>
    </row>
    <row r="63" spans="1:27" x14ac:dyDescent="0.25">
      <c r="B63">
        <v>2</v>
      </c>
      <c r="C63" s="5">
        <f t="shared" si="23"/>
        <v>0.58333333333333337</v>
      </c>
      <c r="D63" s="5">
        <f t="shared" si="23"/>
        <v>1.0833333333333335</v>
      </c>
      <c r="E63" s="5">
        <f>J23</f>
        <v>1.25</v>
      </c>
      <c r="F63" s="5">
        <f>O55</f>
        <v>1.5833333333333335</v>
      </c>
      <c r="G63">
        <v>1</v>
      </c>
      <c r="H63">
        <v>2</v>
      </c>
      <c r="I63">
        <v>2</v>
      </c>
      <c r="J63">
        <f>M59</f>
        <v>3</v>
      </c>
    </row>
    <row r="64" spans="1:27" x14ac:dyDescent="0.25">
      <c r="B64">
        <v>3</v>
      </c>
      <c r="C64" s="5">
        <f t="shared" si="23"/>
        <v>0.63888888888888884</v>
      </c>
      <c r="D64" s="5">
        <f t="shared" si="23"/>
        <v>1.7222222222222223</v>
      </c>
      <c r="E64" s="5">
        <f>J30</f>
        <v>2.0972222222222223</v>
      </c>
      <c r="F64" s="5">
        <f>R56</f>
        <v>3.8888888888888888</v>
      </c>
      <c r="G64">
        <v>1</v>
      </c>
      <c r="H64">
        <v>3</v>
      </c>
      <c r="I64">
        <v>3</v>
      </c>
      <c r="J64">
        <f>P59</f>
        <v>7</v>
      </c>
    </row>
    <row r="65" spans="1:10" x14ac:dyDescent="0.25">
      <c r="B65">
        <v>4</v>
      </c>
      <c r="C65" s="5">
        <f t="shared" ref="C65:D66" si="24">I11</f>
        <v>0.6791666666666667</v>
      </c>
      <c r="D65" s="5">
        <f t="shared" si="24"/>
        <v>2.401388888888889</v>
      </c>
      <c r="E65" s="5">
        <f>J38</f>
        <v>2.9930555555555554</v>
      </c>
      <c r="F65" s="5">
        <f>U57</f>
        <v>8.7347222222222225</v>
      </c>
      <c r="G65">
        <v>1</v>
      </c>
      <c r="H65">
        <v>4</v>
      </c>
      <c r="I65">
        <v>4</v>
      </c>
      <c r="J65">
        <f>S59</f>
        <v>15</v>
      </c>
    </row>
    <row r="66" spans="1:10" x14ac:dyDescent="0.25">
      <c r="B66">
        <v>5</v>
      </c>
      <c r="C66" s="5">
        <f t="shared" si="24"/>
        <v>0.71</v>
      </c>
      <c r="D66" s="5">
        <f t="shared" si="24"/>
        <v>3.111388888888889</v>
      </c>
      <c r="E66" s="5">
        <f>J47</f>
        <v>3.9169444444444443</v>
      </c>
      <c r="F66" s="5">
        <f>X58</f>
        <v>18.828055555555554</v>
      </c>
      <c r="G66">
        <v>1</v>
      </c>
      <c r="H66">
        <v>5</v>
      </c>
      <c r="I66">
        <v>5</v>
      </c>
      <c r="J66">
        <f>V59</f>
        <v>31</v>
      </c>
    </row>
    <row r="68" spans="1:10" x14ac:dyDescent="0.25">
      <c r="A68" t="s">
        <v>46</v>
      </c>
    </row>
    <row r="69" spans="1:10" x14ac:dyDescent="0.25">
      <c r="B69" t="s">
        <v>40</v>
      </c>
      <c r="C69" t="s">
        <v>38</v>
      </c>
      <c r="D69" t="s">
        <v>39</v>
      </c>
      <c r="E69" t="s">
        <v>44</v>
      </c>
    </row>
    <row r="70" spans="1:10" x14ac:dyDescent="0.25">
      <c r="B70" t="s">
        <v>41</v>
      </c>
      <c r="C70">
        <v>1</v>
      </c>
      <c r="D70">
        <v>1</v>
      </c>
      <c r="E70">
        <f>C70*D70</f>
        <v>1</v>
      </c>
    </row>
    <row r="71" spans="1:10" x14ac:dyDescent="0.25">
      <c r="B71" t="s">
        <v>42</v>
      </c>
      <c r="C71">
        <v>2</v>
      </c>
      <c r="D71">
        <v>0.5</v>
      </c>
      <c r="E71">
        <f t="shared" ref="E71:E74" si="25">C71*D71</f>
        <v>1</v>
      </c>
    </row>
    <row r="72" spans="1:10" x14ac:dyDescent="0.25">
      <c r="B72" t="s">
        <v>33</v>
      </c>
      <c r="C72">
        <v>0</v>
      </c>
      <c r="D72">
        <v>0.63900000000000001</v>
      </c>
      <c r="E72">
        <f t="shared" si="25"/>
        <v>0</v>
      </c>
    </row>
    <row r="73" spans="1:10" x14ac:dyDescent="0.25">
      <c r="B73" t="s">
        <v>43</v>
      </c>
      <c r="C73">
        <v>0</v>
      </c>
      <c r="D73">
        <v>1.722</v>
      </c>
      <c r="E73">
        <f t="shared" si="25"/>
        <v>0</v>
      </c>
    </row>
    <row r="74" spans="1:10" x14ac:dyDescent="0.25">
      <c r="B74" t="s">
        <v>2</v>
      </c>
      <c r="C74">
        <v>2</v>
      </c>
      <c r="D74">
        <v>3.8889999999999998</v>
      </c>
      <c r="E74">
        <f t="shared" si="25"/>
        <v>7.7779999999999996</v>
      </c>
    </row>
    <row r="75" spans="1:10" x14ac:dyDescent="0.25">
      <c r="D75" t="s">
        <v>45</v>
      </c>
      <c r="E75">
        <f>SUM(E70:E74)</f>
        <v>9.7779999999999987</v>
      </c>
    </row>
    <row r="77" spans="1:10" x14ac:dyDescent="0.25">
      <c r="A77" t="s">
        <v>48</v>
      </c>
    </row>
    <row r="78" spans="1:10" x14ac:dyDescent="0.25">
      <c r="B78" t="s">
        <v>47</v>
      </c>
      <c r="D78">
        <f>C64+(D64-C64)/(B64-1)</f>
        <v>1.1805555555555556</v>
      </c>
      <c r="E78">
        <f>C64+(E64-C64)/(B64-1)</f>
        <v>1.3680555555555556</v>
      </c>
      <c r="F78">
        <f>C64+(F64-C64)/(B64-1)</f>
        <v>2.2638888888888888</v>
      </c>
    </row>
    <row r="79" spans="1:10" x14ac:dyDescent="0.25">
      <c r="B79" t="s">
        <v>49</v>
      </c>
      <c r="F79">
        <f>C64+(F78-C64)*(B64-2)/(B64-1)</f>
        <v>1.4513888888888888</v>
      </c>
    </row>
    <row r="81" spans="1:6" x14ac:dyDescent="0.25">
      <c r="A81" t="s">
        <v>51</v>
      </c>
    </row>
    <row r="82" spans="1:6" x14ac:dyDescent="0.25">
      <c r="B82" t="s">
        <v>32</v>
      </c>
      <c r="C82" t="s">
        <v>33</v>
      </c>
      <c r="D82" t="s">
        <v>36</v>
      </c>
      <c r="E82" t="s">
        <v>37</v>
      </c>
      <c r="F82" t="s">
        <v>34</v>
      </c>
    </row>
    <row r="83" spans="1:6" x14ac:dyDescent="0.25">
      <c r="B83">
        <v>1</v>
      </c>
      <c r="C83" s="5">
        <f>1-C62/G62</f>
        <v>0.5</v>
      </c>
      <c r="D83" s="5">
        <f t="shared" ref="D83:F83" si="26">1-D62/H62</f>
        <v>0.5</v>
      </c>
      <c r="E83" s="5">
        <f>1-E62/I62</f>
        <v>0.5</v>
      </c>
      <c r="F83" s="5">
        <f t="shared" si="26"/>
        <v>0.5</v>
      </c>
    </row>
    <row r="84" spans="1:6" x14ac:dyDescent="0.25">
      <c r="B84">
        <v>2</v>
      </c>
      <c r="C84" s="5">
        <f t="shared" ref="C84:E84" si="27">1-C63/G63</f>
        <v>0.41666666666666663</v>
      </c>
      <c r="D84" s="5">
        <f>1-D63/H63</f>
        <v>0.45833333333333326</v>
      </c>
      <c r="E84" s="5">
        <f t="shared" si="27"/>
        <v>0.375</v>
      </c>
      <c r="F84" s="5">
        <f>1-F63/J63</f>
        <v>0.47222222222222221</v>
      </c>
    </row>
    <row r="85" spans="1:6" x14ac:dyDescent="0.25">
      <c r="B85">
        <v>3</v>
      </c>
      <c r="C85" s="5">
        <f t="shared" ref="C85:F85" si="28">1-C64/G64</f>
        <v>0.36111111111111116</v>
      </c>
      <c r="D85" s="5">
        <f t="shared" si="28"/>
        <v>0.42592592592592593</v>
      </c>
      <c r="E85" s="5">
        <f t="shared" si="28"/>
        <v>0.30092592592592593</v>
      </c>
      <c r="F85" s="5">
        <f t="shared" si="28"/>
        <v>0.44444444444444442</v>
      </c>
    </row>
    <row r="86" spans="1:6" x14ac:dyDescent="0.25">
      <c r="B86">
        <v>4</v>
      </c>
      <c r="C86" s="5">
        <f t="shared" ref="C86:F86" si="29">1-C65/G65</f>
        <v>0.3208333333333333</v>
      </c>
      <c r="D86" s="5">
        <f t="shared" si="29"/>
        <v>0.39965277777777775</v>
      </c>
      <c r="E86" s="5">
        <f t="shared" si="29"/>
        <v>0.25173611111111116</v>
      </c>
      <c r="F86" s="5">
        <f t="shared" si="29"/>
        <v>0.41768518518518516</v>
      </c>
    </row>
    <row r="87" spans="1:6" x14ac:dyDescent="0.25">
      <c r="B87">
        <v>5</v>
      </c>
      <c r="C87" s="5">
        <f t="shared" ref="C87:E87" si="30">1-C66/G66</f>
        <v>0.29000000000000004</v>
      </c>
      <c r="D87" s="5">
        <f t="shared" si="30"/>
        <v>0.37772222222222218</v>
      </c>
      <c r="E87" s="5">
        <f t="shared" si="30"/>
        <v>0.21661111111111109</v>
      </c>
      <c r="F87" s="5">
        <f>1-F66/J66</f>
        <v>0.39264336917562725</v>
      </c>
    </row>
    <row r="89" spans="1:6" x14ac:dyDescent="0.25">
      <c r="A89" t="s">
        <v>55</v>
      </c>
      <c r="F89">
        <v>1</v>
      </c>
    </row>
    <row r="90" spans="1:6" x14ac:dyDescent="0.25">
      <c r="B90" t="s">
        <v>32</v>
      </c>
      <c r="C90" t="s">
        <v>33</v>
      </c>
      <c r="D90" t="s">
        <v>36</v>
      </c>
      <c r="E90" t="s">
        <v>37</v>
      </c>
      <c r="F90" t="s">
        <v>34</v>
      </c>
    </row>
    <row r="91" spans="1:6" x14ac:dyDescent="0.25">
      <c r="B91">
        <v>1</v>
      </c>
      <c r="C91" s="5">
        <f>(1+$F$89)/(1/C83+$F$89)</f>
        <v>0.66666666666666663</v>
      </c>
      <c r="D91" s="5">
        <f t="shared" ref="D91:F91" si="31">(1+$F$89)/(1/D83+$F$89)</f>
        <v>0.66666666666666663</v>
      </c>
      <c r="E91" s="5">
        <f t="shared" si="31"/>
        <v>0.66666666666666663</v>
      </c>
      <c r="F91" s="5">
        <f t="shared" si="31"/>
        <v>0.66666666666666663</v>
      </c>
    </row>
    <row r="92" spans="1:6" x14ac:dyDescent="0.25">
      <c r="B92">
        <v>2</v>
      </c>
      <c r="C92" s="5">
        <f t="shared" ref="C92:F92" si="32">(1+$F$89)/(1/C84+$F$89)</f>
        <v>0.58823529411764697</v>
      </c>
      <c r="D92" s="5">
        <f t="shared" si="32"/>
        <v>0.62857142857142856</v>
      </c>
      <c r="E92" s="5">
        <f t="shared" si="32"/>
        <v>0.54545454545454553</v>
      </c>
      <c r="F92" s="5">
        <f t="shared" si="32"/>
        <v>0.64150943396226412</v>
      </c>
    </row>
    <row r="93" spans="1:6" x14ac:dyDescent="0.25">
      <c r="B93">
        <v>3</v>
      </c>
      <c r="C93" s="5">
        <f t="shared" ref="C93:F93" si="33">(1+$F$89)/(1/C85+$F$89)</f>
        <v>0.53061224489795922</v>
      </c>
      <c r="D93" s="5">
        <f t="shared" si="33"/>
        <v>0.59740259740259749</v>
      </c>
      <c r="E93" s="5">
        <f t="shared" si="33"/>
        <v>0.46263345195729538</v>
      </c>
      <c r="F93" s="5">
        <f t="shared" si="33"/>
        <v>0.61538461538461542</v>
      </c>
    </row>
    <row r="94" spans="1:6" x14ac:dyDescent="0.25">
      <c r="B94">
        <v>4</v>
      </c>
      <c r="C94" s="5">
        <f t="shared" ref="C94:F94" si="34">(1+$F$89)/(1/C86+$F$89)</f>
        <v>0.48580441640378547</v>
      </c>
      <c r="D94" s="5">
        <f t="shared" si="34"/>
        <v>0.57107417514264447</v>
      </c>
      <c r="E94" s="5">
        <f t="shared" si="34"/>
        <v>0.40221914008321785</v>
      </c>
      <c r="F94" s="5">
        <f t="shared" si="34"/>
        <v>0.58924955914048727</v>
      </c>
    </row>
    <row r="95" spans="1:6" x14ac:dyDescent="0.25">
      <c r="B95">
        <v>5</v>
      </c>
      <c r="C95" s="5">
        <f t="shared" ref="C95:E95" si="35">(1+$F$89)/(1/C87+$F$89)</f>
        <v>0.44961240310077522</v>
      </c>
      <c r="D95" s="5">
        <f t="shared" si="35"/>
        <v>0.54832856163554977</v>
      </c>
      <c r="E95" s="5">
        <f t="shared" si="35"/>
        <v>0.35608931914699299</v>
      </c>
      <c r="F95" s="5">
        <f>(1+$F$89)/(1/F87+$F$89)</f>
        <v>0.56388215083097948</v>
      </c>
    </row>
    <row r="97" spans="1:6" x14ac:dyDescent="0.25">
      <c r="A97" t="s">
        <v>52</v>
      </c>
    </row>
    <row r="98" spans="1:6" x14ac:dyDescent="0.25">
      <c r="B98" t="s">
        <v>32</v>
      </c>
      <c r="C98" t="s">
        <v>33</v>
      </c>
      <c r="D98" t="s">
        <v>36</v>
      </c>
      <c r="E98" t="s">
        <v>37</v>
      </c>
      <c r="F98" t="s">
        <v>34</v>
      </c>
    </row>
    <row r="99" spans="1:6" x14ac:dyDescent="0.25">
      <c r="B99">
        <v>1</v>
      </c>
      <c r="C99" s="5">
        <f>G62*(1-C91)</f>
        <v>0.33333333333333337</v>
      </c>
      <c r="D99" s="5">
        <f t="shared" ref="D99:E99" si="36">H62*(1-D91)</f>
        <v>0.33333333333333337</v>
      </c>
      <c r="E99" s="5">
        <f t="shared" si="36"/>
        <v>0.33333333333333337</v>
      </c>
      <c r="F99" s="5">
        <f>J62*(1-F91)</f>
        <v>0.33333333333333337</v>
      </c>
    </row>
    <row r="100" spans="1:6" x14ac:dyDescent="0.25">
      <c r="B100">
        <v>2</v>
      </c>
      <c r="C100" s="5">
        <f t="shared" ref="C100:F100" si="37">G63*(1-C92)</f>
        <v>0.41176470588235303</v>
      </c>
      <c r="D100" s="5">
        <f t="shared" si="37"/>
        <v>0.74285714285714288</v>
      </c>
      <c r="E100" s="5">
        <f t="shared" si="37"/>
        <v>0.90909090909090895</v>
      </c>
      <c r="F100" s="5">
        <f t="shared" si="37"/>
        <v>1.0754716981132075</v>
      </c>
    </row>
    <row r="101" spans="1:6" x14ac:dyDescent="0.25">
      <c r="B101">
        <v>3</v>
      </c>
      <c r="C101" s="5">
        <f t="shared" ref="C101:F101" si="38">G64*(1-C93)</f>
        <v>0.46938775510204078</v>
      </c>
      <c r="D101" s="5">
        <f t="shared" si="38"/>
        <v>1.2077922077922074</v>
      </c>
      <c r="E101" s="5">
        <f t="shared" si="38"/>
        <v>1.6120996441281137</v>
      </c>
      <c r="F101" s="5">
        <f t="shared" si="38"/>
        <v>2.6923076923076921</v>
      </c>
    </row>
    <row r="102" spans="1:6" x14ac:dyDescent="0.25">
      <c r="B102">
        <v>4</v>
      </c>
      <c r="C102" s="5">
        <f t="shared" ref="C102:E102" si="39">G65*(1-C94)</f>
        <v>0.51419558359621453</v>
      </c>
      <c r="D102" s="5">
        <f t="shared" si="39"/>
        <v>1.7157032994294221</v>
      </c>
      <c r="E102" s="5">
        <f t="shared" si="39"/>
        <v>2.3911234396671288</v>
      </c>
      <c r="F102" s="5">
        <f>J65*(1-F94)</f>
        <v>6.1612566128926911</v>
      </c>
    </row>
    <row r="103" spans="1:6" x14ac:dyDescent="0.25">
      <c r="B103">
        <v>5</v>
      </c>
      <c r="C103" s="5">
        <f t="shared" ref="C103:F103" si="40">G66*(1-C95)</f>
        <v>0.55038759689922478</v>
      </c>
      <c r="D103" s="5">
        <f t="shared" si="40"/>
        <v>2.2583571918222511</v>
      </c>
      <c r="E103" s="5">
        <f t="shared" si="40"/>
        <v>3.2195534042650351</v>
      </c>
      <c r="F103" s="5">
        <f t="shared" si="40"/>
        <v>13.519653324239636</v>
      </c>
    </row>
  </sheetData>
  <mergeCells count="24">
    <mergeCell ref="V50:X50"/>
    <mergeCell ref="Y50:AA50"/>
    <mergeCell ref="C51:G51"/>
    <mergeCell ref="A52:B52"/>
    <mergeCell ref="S50:U50"/>
    <mergeCell ref="P50:R50"/>
    <mergeCell ref="M50:O50"/>
    <mergeCell ref="J50:L50"/>
    <mergeCell ref="G60:J60"/>
    <mergeCell ref="A6:B6"/>
    <mergeCell ref="C25:G25"/>
    <mergeCell ref="I4:J4"/>
    <mergeCell ref="C5:G5"/>
    <mergeCell ref="C26:G26"/>
    <mergeCell ref="C4:H4"/>
    <mergeCell ref="C19:G19"/>
    <mergeCell ref="C20:G20"/>
    <mergeCell ref="C15:G15"/>
    <mergeCell ref="C14:G14"/>
    <mergeCell ref="C32:G32"/>
    <mergeCell ref="C33:G33"/>
    <mergeCell ref="C40:G40"/>
    <mergeCell ref="C41:G41"/>
    <mergeCell ref="C50:H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Precha Thavikulwat</dc:creator>
  <cp:lastModifiedBy>Thavikulwat, Precha</cp:lastModifiedBy>
  <dcterms:created xsi:type="dcterms:W3CDTF">2025-08-25T14:07:26Z</dcterms:created>
  <dcterms:modified xsi:type="dcterms:W3CDTF">2026-08-06T15:50:47Z</dcterms:modified>
</cp:coreProperties>
</file>